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a83d9090f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uardo_Gastro_13-07" sheetId="1" r:id="R7204fd998a2e439e"/>
    <x:sheet xmlns:r="http://schemas.openxmlformats.org/officeDocument/2006/relationships" name="Naira_Pediatria_13-07" sheetId="2" r:id="R5c5f11ce4a074a8c"/>
    <x:sheet xmlns:r="http://schemas.openxmlformats.org/officeDocument/2006/relationships" name="Bruno_Neuro_13-07" sheetId="3" r:id="Rea0b3c724fc04159"/>
    <x:sheet xmlns:r="http://schemas.openxmlformats.org/officeDocument/2006/relationships" name="Base Consolidada" sheetId="4" r:id="Rd4947b59420d4358"/>
    <x:sheet xmlns:r="http://schemas.openxmlformats.org/officeDocument/2006/relationships" name="Emanuel_Obstetra_10-07" sheetId="5" r:id="Rc8c493a015074c11"/>
    <x:sheet xmlns:r="http://schemas.openxmlformats.org/officeDocument/2006/relationships" name="Fernanda_Gineco_10-07" sheetId="6" r:id="Red7b8c9e9fe744de"/>
    <x:sheet xmlns:r="http://schemas.openxmlformats.org/officeDocument/2006/relationships" name="Marcelo_Cardio_10-07" sheetId="7" r:id="Rb70d085d35f44312"/>
    <x:sheet xmlns:r="http://schemas.openxmlformats.org/officeDocument/2006/relationships" name="Lucas_Ortopedia_16-07" sheetId="8" r:id="R361164f21e474785"/>
    <x:sheet xmlns:r="http://schemas.openxmlformats.org/officeDocument/2006/relationships" name="Vinicius_Ortopedia_16-07" sheetId="9" r:id="R7e106800b9e843d3"/>
    <x:sheet xmlns:r="http://schemas.openxmlformats.org/officeDocument/2006/relationships" name="Fernanda_Gineco_16-07" sheetId="10" r:id="R0de17d8a629146bb"/>
    <x:sheet xmlns:r="http://schemas.openxmlformats.org/officeDocument/2006/relationships" name="Andre_Gineco_16-07" sheetId="11" r:id="R66693140a66b4bff"/>
  </x:sheets>
</x:workbook>
</file>

<file path=xl/sharedStrings.xml><?xml version="1.0" encoding="utf-8"?>
<x:sst xmlns:x="http://schemas.openxmlformats.org/spreadsheetml/2006/main">
  <x:si>
    <x:t xml:space="preserve">ANÁLISE DE ATENDIMENTOS - GASTROENTEROLOGIA</x:t>
  </x:si>
  <x:si>
    <x:t xml:space="preserve">Médico</x:t>
  </x:si>
  <x:si>
    <x:t xml:space="preserve">Eduardo Neves de Oliveira</x:t>
  </x:si>
  <x:si>
    <x:t xml:space="preserve">Especialidade</x:t>
  </x:si>
  <x:si>
    <x:t xml:space="preserve">Gastroenterologia</x:t>
  </x:si>
  <x:si>
    <x:t xml:space="preserve">Data</x:t>
  </x:si>
  <x:si>
    <x:t xml:space="preserve">A coluna “Tempo de atendimento real” deve ser preenchida manualmente somente após apuração. A sobreposição indica apenas que o término registrado foi posterior ao início do atendimento seguinte.</x:t>
  </x:si>
  <x:si>
    <x:t xml:space="preserve">Total de pacientes</x:t>
  </x:si>
  <x:si>
    <x:t xml:space="preserve">Tempo médio pelo sistema</x:t>
  </x:si>
  <x:si>
    <x:t xml:space="preserve">Maior tempo pelo sistema</x:t>
  </x:si>
  <x:si>
    <x:t xml:space="preserve">Sobreposições</x:t>
  </x:si>
  <x:si>
    <x:t xml:space="preserve">Maior intervalo positivo</x:t>
  </x:si>
  <x:si>
    <x:t xml:space="preserve">Tempo total pelo sistema</x:t>
  </x:si>
  <x:si>
    <x:t xml:space="preserve">Tempo real apurado</x:t>
  </x:si>
  <x:si>
    <x:t xml:space="preserve">Registros pendentes de apuração</x:t>
  </x:si>
  <x:si>
    <x:t xml:space="preserve">Nome fila</x:t>
  </x:si>
  <x:si>
    <x:t xml:space="preserve">Início do atendimento</x:t>
  </x:si>
  <x:si>
    <x:t xml:space="preserve">Tempo de atendimento pelo sistema</x:t>
  </x:si>
  <x:si>
    <x:t xml:space="preserve">Término do atendimento</x:t>
  </x:si>
  <x:si>
    <x:t xml:space="preserve">Tempo de atendimento real</x:t>
  </x:si>
  <x:si>
    <x:t xml:space="preserve">Sobreposição identificada</x:t>
  </x:si>
  <x:si>
    <x:t xml:space="preserve">Observação</x:t>
  </x:si>
  <x:si>
    <x:t xml:space="preserve">Intervalo até o próximo atendimento</x:t>
  </x:si>
  <x:si>
    <x:t xml:space="preserve">Paciente 1</x:t>
  </x:si>
  <x:si>
    <x:t xml:space="preserve">Paciente 2</x:t>
  </x:si>
  <x:si>
    <x:t xml:space="preserve">Paciente 3</x:t>
  </x:si>
  <x:si>
    <x:t xml:space="preserve">Paciente 4</x:t>
  </x:si>
  <x:si>
    <x:t xml:space="preserve">Paciente 5</x:t>
  </x:si>
  <x:si>
    <x:t xml:space="preserve">Paciente 6</x:t>
  </x:si>
  <x:si>
    <x:t xml:space="preserve">Paciente 7</x:t>
  </x:si>
  <x:si>
    <x:t xml:space="preserve">Paciente 8</x:t>
  </x:si>
  <x:si>
    <x:t xml:space="preserve">Paciente 9</x:t>
  </x:si>
  <x:si>
    <x:t xml:space="preserve">Paciente 10</x:t>
  </x:si>
  <x:si>
    <x:t xml:space="preserve">Paciente 11</x:t>
  </x:si>
  <x:si>
    <x:t xml:space="preserve">Paciente 12</x:t>
  </x:si>
  <x:si>
    <x:t xml:space="preserve">Paciente 13</x:t>
  </x:si>
  <x:si>
    <x:t xml:space="preserve">Paciente 14</x:t>
  </x:si>
  <x:si>
    <x:t xml:space="preserve">Paciente 15</x:t>
  </x:si>
  <x:si>
    <x:t xml:space="preserve">Paciente 16</x:t>
  </x:si>
  <x:si>
    <x:t xml:space="preserve">Paciente 17</x:t>
  </x:si>
  <x:si>
    <x:t xml:space="preserve">Paciente 18</x:t>
  </x:si>
  <x:si>
    <x:t xml:space="preserve">Paciente 19</x:t>
  </x:si>
  <x:si>
    <x:t xml:space="preserve">Paciente 20</x:t>
  </x:si>
  <x:si>
    <x:t xml:space="preserve">Paciente 21</x:t>
  </x:si>
  <x:si>
    <x:t xml:space="preserve">Paciente 22</x:t>
  </x:si>
  <x:si>
    <x:t xml:space="preserve">Paciente 23</x:t>
  </x:si>
  <x:si>
    <x:t xml:space="preserve">Paciente 24</x:t>
  </x:si>
  <x:si>
    <x:t xml:space="preserve">Paciente 25</x:t>
  </x:si>
  <x:si>
    <x:t xml:space="preserve">Paciente 26</x:t>
  </x:si>
  <x:si>
    <x:t xml:space="preserve">Paciente 27</x:t>
  </x:si>
  <x:si>
    <x:t xml:space="preserve">Paciente 28</x:t>
  </x:si>
  <x:si>
    <x:t xml:space="preserve">Paciente 29</x:t>
  </x:si>
  <x:si>
    <x:t xml:space="preserve">Paciente 30</x:t>
  </x:si>
  <x:si>
    <x:t xml:space="preserve">Paciente 31</x:t>
  </x:si>
  <x:si>
    <x:t xml:space="preserve">Não</x:t>
  </x:si>
  <x:si>
    <x:t xml:space="preserve">-</x:t>
  </x:si>
  <x:si>
    <x:t xml:space="preserve">ANÁLISE DE ATENDIMENTOS - PEDIATRIA</x:t>
  </x:si>
  <x:si>
    <x:t xml:space="preserve">Naira Vanessa Anoma</x:t>
  </x:si>
  <x:si>
    <x:t xml:space="preserve">Pediatria</x:t>
  </x:si>
  <x:si>
    <x:t xml:space="preserve">ANÁLISE DE ATENDIMENTOS - NEUROCIRURGIA</x:t>
  </x:si>
  <x:si>
    <x:t xml:space="preserve">Bruno Garrett Bento</x:t>
  </x:si>
  <x:si>
    <x:t xml:space="preserve">Neurocirurgia</x:t>
  </x:si>
  <x:si>
    <x:t xml:space="preserve">Paciente 32</x:t>
  </x:si>
  <x:si>
    <x:t xml:space="preserve">Paciente 33</x:t>
  </x:si>
  <x:si>
    <x:t xml:space="preserve">Paciente 34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</x:si>
</x:sst>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[h]:mm"/>
    <x:numFmt numFmtId="166" formatCode="hh:mm"/>
    <x:numFmt numFmtId="200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FFFDF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FFFDF0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FFFDF0"/>
      </x:patternFill>
    </x:fill>
    <x:fill>
      <x:patternFill patternType="solid">
        <x:fgColor rgb="FF4472C4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280">
    <x:xf numFmtId="0" fontId="0" fillId="0" borderId="0" xfId="0"/>
    <x:xf numFmtId="165" fontId="0" fillId="0" borderId="0" xfId="0" applyNumberFormat="1"/>
    <x:xf numFmtId="166" fontId="0" fillId="0" borderId="0" xfId="0" applyNumberFormat="1"/>
    <x:xf numFmtId="0" fontId="2" fillId="3" borderId="0" xfId="0" applyFont="1" applyFill="1"/>
    <x:xf numFmtId="0" fontId="4" fillId="5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horizontal="center" vertical="center" wrapText="1"/>
    </x:xf>
    <x:xf numFmtId="165" fontId="4" fillId="6" borderId="0" xfId="0" applyNumberFormat="1" applyFont="1" applyFill="1" applyAlignment="1">
      <x:alignment horizontal="center" vertical="center" wrapText="1"/>
    </x:xf>
    <x:xf numFmtId="0" fontId="0" fillId="0" borderId="1" xfId="0" applyBorder="1"/>
    <x:xf numFmtId="166" fontId="0" fillId="0" borderId="0" xfId="0" applyNumberFormat="1" applyAlignment="1">
      <x:alignment horizontal="center"/>
    </x:xf>
    <x:xf numFmtId="165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0" xfId="0" applyAlignment="1">
      <x:alignment wrapText="1"/>
    </x:xf>
    <x:xf numFmtId="165" fontId="5" fillId="7" borderId="0" xfId="0" applyNumberFormat="1" applyFont="1" applyFill="1" applyAlignment="1">
      <x:alignment horizontal="center"/>
    </x:xf>
    <x:xf numFmtId="165" fontId="0" fillId="7" borderId="0" xfId="0" applyNumberFormat="1" applyFill="1"/>
    <x:xf numFmtId="166" fontId="0" fillId="0" borderId="1" xfId="0" applyNumberFormat="1" applyBorder="1" applyAlignment="1">
      <x:alignment horizontal="center"/>
    </x:xf>
    <x:xf numFmtId="165" fontId="0" fillId="0" borderId="1" xfId="0" applyNumberFormat="1" applyBorder="1" applyAlignment="1">
      <x:alignment horizontal="center"/>
    </x:xf>
    <x:xf numFmtId="165" fontId="5" fillId="7" borderId="1" xfId="0" applyNumberFormat="1" applyFont="1" applyFill="1" applyBorder="1" applyAlignment="1">
      <x:alignment horizontal="center"/>
    </x:xf>
    <x:xf numFmtId="0" fontId="0" fillId="0" borderId="1" xfId="0" applyBorder="1" applyAlignment="1">
      <x:alignment wrapText="1"/>
    </x:xf>
    <x:xf numFmtId="164" fontId="0" fillId="0" borderId="1" xfId="0" applyNumberFormat="1" applyBorder="1"/>
    <x:xf numFmtId="166" fontId="0" fillId="0" borderId="1" xfId="0" applyNumberFormat="1" applyBorder="1"/>
    <x:xf numFmtId="165" fontId="0" fillId="0" borderId="1" xfId="0" applyNumberFormat="1" applyBorder="1"/>
    <x:xf numFmtId="165" fontId="0" fillId="7" borderId="1" xfId="0" applyNumberFormat="1" applyFill="1" applyBorder="1"/>
    <x:xf numFmtId="0" fontId="1" fillId="2" borderId="0" xfId="0" applyFont="1" applyFill="1" applyAlignment="1">
      <x:alignment horizontal="center" vertical="center"/>
    </x:xf>
    <x:xf numFmtId="0" fontId="3" fillId="4" borderId="0" xfId="0" applyFont="1" applyFill="1" applyAlignment="1">
      <x:alignment vertical="center" wrapText="1"/>
    </x:xf>
    <x:xf numFmtId="0" fontId="1" fillId="2" borderId="0" xfId="0" applyFont="1" applyFill="1" applyAlignment="1">
      <x:alignment horizontal="center"/>
    </x:xf>
    <x:xf numFmtId="0" fontId="0" fillId="0" borderId="0" xfId="0" applyAlignment="1"/>
    <x:xf numFmtId="164" fontId="0" fillId="0" borderId="0" xfId="0" applyNumberFormat="1" applyAlignment="1"/>
    <x:xf numFmtId="0" fontId="0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165" fontId="4" fillId="6" borderId="2" xfId="0" applyNumberFormat="1" applyFont="1" applyFill="1" applyBorder="1" applyAlignment="1">
      <x:alignment horizontal="center" vertical="center" wrapText="1"/>
    </x:xf>
    <x:xf numFmtId="166" fontId="0" fillId="0" borderId="2" xfId="0" applyNumberFormat="1" applyFont="1" applyFill="1" applyBorder="1" applyAlignment="1">
      <x:alignment horizontal="center"/>
    </x:xf>
    <x:xf numFmtId="165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165" fontId="5" fillId="7" borderId="2" xfId="0" applyNumberFormat="1" applyFont="1" applyFill="1" applyBorder="1" applyAlignment="1">
      <x:alignment horizontal="center"/>
    </x:xf>
    <x:xf numFmtId="165" fontId="0" fillId="7" borderId="2" xfId="0" applyNumberFormat="1" applyFont="1" applyFill="1" applyBorder="1"/>
    <x:xf numFmtId="164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/>
    <x:xf numFmtId="166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/>
    <x:xf numFmtId="0" fontId="1" fillId="8" borderId="2" xfId="0" applyNumberFormat="1" applyFont="1" applyFill="1" applyBorder="1"/>
    <x:xf numFmtId="0" fontId="1" fillId="8" borderId="2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2" xfId="0" applyNumberFormat="1" applyFont="1" applyFill="1" applyBorder="1"/>
    <x:xf numFmtId="0" fontId="2" fillId="9" borderId="2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165" fontId="0" fillId="11" borderId="0" xfId="0" applyNumberFormat="1" applyFont="1" applyFill="1" applyBorder="1"/>
    <x:xf numFmtId="0" fontId="4" fillId="11" borderId="0" xfId="0" applyNumberFormat="1" applyFont="1" applyFill="1" applyBorder="1"/>
    <x:xf numFmtId="165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165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165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165" fontId="4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165" fontId="0" fillId="11" borderId="2" xfId="0" applyNumberFormat="1" applyFont="1" applyFill="1" applyBorder="1"/>
    <x:xf numFmtId="0" fontId="4" fillId="11" borderId="2" xfId="0" applyNumberFormat="1" applyFont="1" applyFill="1" applyBorder="1"/>
    <x:xf numFmtId="165" fontId="4" fillId="11" borderId="2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165" fontId="4" fillId="11" borderId="2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165" fontId="4" fillId="11" borderId="2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165" fontId="4" fillId="11" borderId="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/>
    <x:xf numFmtId="0" fontId="4" fillId="12" borderId="2" xfId="0" applyNumberFormat="1" applyFont="1" applyFill="1" applyBorder="1"/>
    <x:xf numFmtId="0" fontId="4" fillId="12" borderId="2" xfId="0" applyNumberFormat="1" applyFont="1" applyFill="1" applyBorder="1" applyAlignment="1">
      <x:alignment wrapText="1"/>
    </x:xf>
    <x:xf numFmtId="0" fontId="4" fillId="12" borderId="2" xfId="0" applyNumberFormat="1" applyFont="1" applyFill="1" applyBorder="1" applyAlignment="1">
      <x:alignment horizontal="center" wrapText="1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166" fontId="0" fillId="0" borderId="4" xfId="0" applyNumberFormat="1" applyFont="1" applyFill="1" applyBorder="1"/>
    <x:xf numFmtId="165" fontId="0" fillId="0" borderId="4" xfId="0" applyNumberFormat="1" applyFont="1" applyFill="1" applyBorder="1"/>
    <x:xf numFmtId="0" fontId="0" fillId="0" borderId="4" xfId="0" applyNumberFormat="1" applyFont="1" applyFill="1" applyBorder="1"/>
    <x:xf numFmtId="165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165" fontId="0" fillId="0" borderId="7" xfId="0" applyNumberFormat="1" applyFont="1" applyFill="1" applyBorder="1"/>
    <x:xf numFmtId="0" fontId="0" fillId="0" borderId="8" xfId="0" applyNumberFormat="1" applyFont="1" applyFill="1" applyBorder="1"/>
    <x:xf numFmtId="166" fontId="0" fillId="0" borderId="9" xfId="0" applyNumberFormat="1" applyFont="1" applyFill="1" applyBorder="1"/>
    <x:xf numFmtId="165" fontId="0" fillId="0" borderId="9" xfId="0" applyNumberFormat="1" applyFont="1" applyFill="1" applyBorder="1"/>
    <x:xf numFmtId="0" fontId="0" fillId="0" borderId="9" xfId="0" applyNumberFormat="1" applyFont="1" applyFill="1" applyBorder="1"/>
    <x:xf numFmtId="165" fontId="0" fillId="0" borderId="10" xfId="0" applyNumberFormat="1" applyFont="1" applyFill="1" applyBorder="1"/>
    <x:xf numFmtId="0" fontId="0" fillId="0" borderId="11" xfId="0" applyNumberFormat="1" applyFont="1" applyFill="1" applyBorder="1"/>
    <x:xf numFmtId="166" fontId="0" fillId="0" borderId="12" xfId="0" applyNumberFormat="1" applyFont="1" applyFill="1" applyBorder="1"/>
    <x:xf numFmtId="165" fontId="0" fillId="0" borderId="12" xfId="0" applyNumberFormat="1" applyFont="1" applyFill="1" applyBorder="1"/>
    <x:xf numFmtId="0" fontId="0" fillId="0" borderId="12" xfId="0" applyNumberFormat="1" applyFont="1" applyFill="1" applyBorder="1"/>
    <x:xf numFmtId="165" fontId="0" fillId="0" borderId="13" xfId="0" applyNumberFormat="1" applyFont="1" applyFill="1" applyBorder="1"/>
    <x:xf numFmtId="0" fontId="0" fillId="0" borderId="14" xfId="0" applyNumberFormat="1" applyFont="1" applyFill="1" applyBorder="1"/>
    <x:xf numFmtId="165" fontId="0" fillId="0" borderId="15" xfId="0" applyNumberFormat="1" applyFont="1" applyFill="1" applyBorder="1"/>
    <x:xf numFmtId="0" fontId="0" fillId="0" borderId="16" xfId="0" applyNumberFormat="1" applyFont="1" applyFill="1" applyBorder="1"/>
    <x:xf numFmtId="166" fontId="0" fillId="0" borderId="17" xfId="0" applyNumberFormat="1" applyFont="1" applyFill="1" applyBorder="1"/>
    <x:xf numFmtId="165" fontId="0" fillId="0" borderId="17" xfId="0" applyNumberFormat="1" applyFont="1" applyFill="1" applyBorder="1"/>
    <x:xf numFmtId="0" fontId="0" fillId="0" borderId="17" xfId="0" applyNumberFormat="1" applyFont="1" applyFill="1" applyBorder="1"/>
    <x:xf numFmtId="165" fontId="0" fillId="0" borderId="18" xfId="0" applyNumberFormat="1" applyFont="1" applyFill="1" applyBorder="1"/>
    <x:xf numFmtId="166" fontId="0" fillId="0" borderId="4" xfId="0" applyNumberFormat="1" applyFont="1" applyFill="1" applyBorder="1" applyAlignment="1">
      <x:alignment horizontal="center"/>
    </x:xf>
    <x:xf numFmtId="165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166" fontId="0" fillId="0" borderId="0" xfId="0" applyNumberFormat="1" applyFont="1" applyFill="1" applyBorder="1" applyAlignment="1">
      <x:alignment horizontal="center"/>
    </x:xf>
    <x:xf numFmtId="165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166" fontId="0" fillId="0" borderId="9" xfId="0" applyNumberFormat="1" applyFont="1" applyFill="1" applyBorder="1" applyAlignment="1">
      <x:alignment horizontal="center"/>
    </x:xf>
    <x:xf numFmtId="165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166" fontId="0" fillId="0" borderId="12" xfId="0" applyNumberFormat="1" applyFont="1" applyFill="1" applyBorder="1" applyAlignment="1">
      <x:alignment horizontal="center"/>
    </x:xf>
    <x:xf numFmtId="165" fontId="0" fillId="0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166" fontId="0" fillId="0" borderId="17" xfId="0" applyNumberFormat="1" applyFont="1" applyFill="1" applyBorder="1" applyAlignment="1">
      <x:alignment horizontal="center"/>
    </x:xf>
    <x:xf numFmtId="165" fontId="0" fillId="0" borderId="17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165" fontId="0" fillId="0" borderId="5" xfId="0" applyNumberFormat="1" applyFont="1" applyFill="1" applyBorder="1" applyAlignment="1">
      <x:alignment horizontal="center"/>
    </x:xf>
    <x:xf numFmtId="165" fontId="0" fillId="0" borderId="7" xfId="0" applyNumberFormat="1" applyFont="1" applyFill="1" applyBorder="1" applyAlignment="1">
      <x:alignment horizontal="center"/>
    </x:xf>
    <x:xf numFmtId="165" fontId="0" fillId="0" borderId="10" xfId="0" applyNumberFormat="1" applyFont="1" applyFill="1" applyBorder="1" applyAlignment="1">
      <x:alignment horizontal="center"/>
    </x:xf>
    <x:xf numFmtId="165" fontId="0" fillId="0" borderId="13" xfId="0" applyNumberFormat="1" applyFont="1" applyFill="1" applyBorder="1" applyAlignment="1">
      <x:alignment horizontal="center"/>
    </x:xf>
    <x:xf numFmtId="165" fontId="0" fillId="0" borderId="15" xfId="0" applyNumberFormat="1" applyFont="1" applyFill="1" applyBorder="1" applyAlignment="1">
      <x:alignment horizontal="center"/>
    </x:xf>
    <x:xf numFmtId="165" fontId="0" fillId="0" borderId="18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165" fontId="4" fillId="12" borderId="0" xfId="0" applyNumberFormat="1" applyFont="1" applyFill="1" applyBorder="1" applyAlignment="1">
      <x:alignment horizontal="center" vertical="center" wrapText="1"/>
    </x:xf>
    <x:xf numFmtId="165" fontId="4" fillId="12" borderId="2" xfId="0" applyNumberFormat="1" applyFont="1" applyFill="1" applyBorder="1" applyAlignment="1">
      <x:alignment horizontal="center" vertical="center" wrapText="1"/>
    </x:xf>
    <x:xf numFmtId="165" fontId="0" fillId="7" borderId="0" xfId="0" applyNumberFormat="1" applyFont="1" applyFill="1" applyBorder="1"/>
    <x:xf numFmtId="165" fontId="0" fillId="13" borderId="0" xfId="0" applyNumberFormat="1" applyFont="1" applyFill="1" applyBorder="1"/>
    <x:xf numFmtId="165" fontId="0" fillId="13" borderId="2" xfId="0" applyNumberFormat="1" applyFont="1" applyFill="1" applyBorder="1"/>
    <x:xf numFmtId="164" fontId="0" fillId="0" borderId="3" xfId="0" applyNumberFormat="1" applyFont="1" applyFill="1" applyBorder="1"/>
    <x:xf numFmtId="165" fontId="0" fillId="13" borderId="4" xfId="0" applyNumberFormat="1" applyFont="1" applyFill="1" applyBorder="1"/>
    <x:xf numFmtId="0" fontId="0" fillId="0" borderId="5" xfId="0" applyNumberFormat="1" applyFont="1" applyFill="1" applyBorder="1"/>
    <x:xf numFmtId="164" fontId="0" fillId="0" borderId="6" xfId="0" applyNumberFormat="1" applyFont="1" applyFill="1" applyBorder="1"/>
    <x:xf numFmtId="0" fontId="0" fillId="0" borderId="7" xfId="0" applyNumberFormat="1" applyFont="1" applyFill="1" applyBorder="1"/>
    <x:xf numFmtId="164" fontId="0" fillId="0" borderId="8" xfId="0" applyNumberFormat="1" applyFont="1" applyFill="1" applyBorder="1"/>
    <x:xf numFmtId="165" fontId="0" fillId="13" borderId="9" xfId="0" applyNumberFormat="1" applyFont="1" applyFill="1" applyBorder="1"/>
    <x:xf numFmtId="0" fontId="0" fillId="0" borderId="10" xfId="0" applyNumberFormat="1" applyFont="1" applyFill="1" applyBorder="1"/>
    <x:xf numFmtId="164" fontId="0" fillId="0" borderId="11" xfId="0" applyNumberFormat="1" applyFont="1" applyFill="1" applyBorder="1"/>
    <x:xf numFmtId="165" fontId="0" fillId="13" borderId="12" xfId="0" applyNumberFormat="1" applyFont="1" applyFill="1" applyBorder="1"/>
    <x:xf numFmtId="0" fontId="0" fillId="0" borderId="13" xfId="0" applyNumberFormat="1" applyFont="1" applyFill="1" applyBorder="1"/>
    <x:xf numFmtId="164" fontId="0" fillId="0" borderId="14" xfId="0" applyNumberFormat="1" applyFont="1" applyFill="1" applyBorder="1"/>
    <x:xf numFmtId="0" fontId="0" fillId="0" borderId="15" xfId="0" applyNumberFormat="1" applyFont="1" applyFill="1" applyBorder="1"/>
    <x:xf numFmtId="164" fontId="0" fillId="0" borderId="16" xfId="0" applyNumberFormat="1" applyFont="1" applyFill="1" applyBorder="1"/>
    <x:xf numFmtId="165" fontId="0" fillId="13" borderId="17" xfId="0" applyNumberFormat="1" applyFont="1" applyFill="1" applyBorder="1"/>
    <x:xf numFmtId="0" fontId="0" fillId="0" borderId="18" xfId="0" applyNumberFormat="1" applyFont="1" applyFill="1" applyBorder="1"/>
    <x:xf numFmtId="0" fontId="2" fillId="3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165" fontId="4" fillId="6" borderId="0" xfId="0" applyNumberFormat="1" applyFont="1" applyFill="1" applyBorder="1" applyAlignment="1">
      <x:alignment horizontal="center" vertical="center" wrapText="1"/>
    </x:xf>
    <x:xf numFmtId="165" fontId="5" fillId="7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165" fontId="0" fillId="5" borderId="0" xfId="0" applyNumberFormat="1" applyFont="1" applyFill="1" applyBorder="1"/>
    <x:xf numFmtId="0" fontId="4" fillId="5" borderId="0" xfId="0" applyNumberFormat="1" applyFont="1" applyFill="1" applyBorder="1"/>
    <x:xf numFmtId="165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165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165" fontId="4" fillId="5" borderId="0" xfId="0" applyNumberFormat="1" applyFont="1" applyFill="1" applyBorder="1" applyAlignment="1">
      <x:alignment horizontal="center" wrapText="1"/>
    </x:xf>
    <x:xf numFmtId="165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165" fontId="0" fillId="14" borderId="0" xfId="0" applyNumberFormat="1" applyFont="1" applyFill="1" applyBorder="1"/>
    <x:xf numFmtId="165" fontId="4" fillId="14" borderId="0" xfId="0" applyNumberFormat="1" applyFont="1" applyFill="1" applyBorder="1"/>
    <x:xf numFmtId="165" fontId="4" fillId="14" borderId="0" xfId="0" applyNumberFormat="1" applyFont="1" applyFill="1" applyBorder="1" applyAlignment="1">
      <x:alignment wrapText="1"/>
    </x:xf>
    <x:xf numFmtId="165" fontId="4" fillId="14" borderId="0" xfId="0" applyNumberFormat="1" applyFont="1" applyFill="1" applyBorder="1" applyAlignment="1">
      <x:alignment horizontal="center" wrapText="1"/>
    </x:xf>
    <x:xf numFmtId="165" fontId="4" fillId="14" borderId="0" xfId="0" applyNumberFormat="1" applyFont="1" applyFill="1" applyBorder="1" applyAlignment="1">
      <x:alignment horizontal="center" vertical="center" wrapText="1"/>
    </x:xf>
    <x:xf numFmtId="165" fontId="4" fillId="14" borderId="19" xfId="0" applyNumberFormat="1" applyFont="1" applyFill="1" applyBorder="1" applyAlignment="1">
      <x:alignment horizontal="center" vertical="center" wrapText="1"/>
    </x:xf>
    <x:xf numFmtId="165" fontId="0" fillId="0" borderId="20" xfId="0" applyNumberFormat="1" applyFont="1" applyFill="1" applyBorder="1"/>
    <x:xf numFmtId="165" fontId="0" fillId="6" borderId="0" xfId="0" applyNumberFormat="1" applyFont="1" applyFill="1" applyBorder="1"/>
    <x:xf numFmtId="165" fontId="4" fillId="6" borderId="0" xfId="0" applyNumberFormat="1" applyFont="1" applyFill="1" applyBorder="1"/>
    <x:xf numFmtId="165" fontId="4" fillId="6" borderId="0" xfId="0" applyNumberFormat="1" applyFont="1" applyFill="1" applyBorder="1" applyAlignment="1">
      <x:alignment wrapText="1"/>
    </x:xf>
    <x:xf numFmtId="165" fontId="4" fillId="6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165" fontId="0" fillId="18" borderId="0" xfId="0" applyNumberFormat="1" applyFont="1" applyFill="1" applyBorder="1"/>
    <x:xf numFmtId="0" fontId="4" fillId="18" borderId="0" xfId="0" applyNumberFormat="1" applyFont="1" applyFill="1" applyBorder="1"/>
    <x:xf numFmtId="165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165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165" fontId="4" fillId="18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165" fontId="4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166" fontId="0" fillId="0" borderId="22" xfId="0" applyNumberFormat="1" applyFont="1" applyFill="1" applyBorder="1"/>
    <x:xf numFmtId="165" fontId="0" fillId="0" borderId="22" xfId="0" applyNumberFormat="1" applyFont="1" applyFill="1" applyBorder="1"/>
    <x:xf numFmtId="0" fontId="0" fillId="0" borderId="22" xfId="0" applyNumberFormat="1" applyFont="1" applyFill="1" applyBorder="1"/>
    <x:xf numFmtId="165" fontId="0" fillId="0" borderId="23" xfId="0" applyNumberFormat="1" applyFont="1" applyFill="1" applyBorder="1"/>
    <x:xf numFmtId="0" fontId="0" fillId="0" borderId="24" xfId="0" applyNumberFormat="1" applyFont="1" applyFill="1" applyBorder="1"/>
    <x:xf numFmtId="166" fontId="0" fillId="0" xfId="0" applyNumberFormat="1" applyFont="1" applyFill="1" applyBorder="0"/>
    <x:xf numFmtId="165" fontId="0" fillId="0" xfId="0" applyNumberFormat="1" applyFont="1" applyFill="1" applyBorder="0"/>
    <x:xf numFmtId="0" fontId="0" fillId="0" xfId="0" applyNumberFormat="1" applyFont="1" applyFill="1" applyBorder="0"/>
    <x:xf numFmtId="165" fontId="0" fillId="0" borderId="25" xfId="0" applyNumberFormat="1" applyFont="1" applyFill="1" applyBorder="1"/>
    <x:xf numFmtId="0" fontId="0" fillId="0" borderId="26" xfId="0" applyNumberFormat="1" applyFont="1" applyFill="1" applyBorder="1"/>
    <x:xf numFmtId="166" fontId="0" fillId="0" borderId="27" xfId="0" applyNumberFormat="1" applyFont="1" applyFill="1" applyBorder="1"/>
    <x:xf numFmtId="165" fontId="0" fillId="0" borderId="27" xfId="0" applyNumberFormat="1" applyFont="1" applyFill="1" applyBorder="1"/>
    <x:xf numFmtId="0" fontId="0" fillId="0" borderId="27" xfId="0" applyNumberFormat="1" applyFont="1" applyFill="1" applyBorder="1"/>
    <x:xf numFmtId="165" fontId="0" fillId="0" borderId="28" xfId="0" applyNumberFormat="1" applyFont="1" applyFill="1" applyBorder="1"/>
    <x:xf numFmtId="166" fontId="0" fillId="0" borderId="22" xfId="0" applyNumberFormat="1" applyFont="1" applyFill="1" applyBorder="1" applyAlignment="1">
      <x:alignment horizontal="center"/>
    </x:xf>
    <x:xf numFmtId="165" fontId="0" fillId="0" borderId="22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166" fontId="0" fillId="0" xfId="0" applyNumberFormat="1" applyFont="1" applyFill="1" applyBorder="0" applyAlignment="1">
      <x:alignment horizontal="center"/>
    </x:xf>
    <x:xf numFmtId="165" fontId="0" fillId="0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166" fontId="0" fillId="0" borderId="27" xfId="0" applyNumberFormat="1" applyFont="1" applyFill="1" applyBorder="1" applyAlignment="1">
      <x:alignment horizontal="center"/>
    </x:xf>
    <x:xf numFmtId="165" fontId="0" fillId="0" borderId="27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165" fontId="0" fillId="0" borderId="23" xfId="0" applyNumberFormat="1" applyFont="1" applyFill="1" applyBorder="1" applyAlignment="1">
      <x:alignment horizontal="center"/>
    </x:xf>
    <x:xf numFmtId="165" fontId="0" fillId="0" borderId="25" xfId="0" applyNumberFormat="1" applyFont="1" applyFill="1" applyBorder="1" applyAlignment="1">
      <x:alignment horizontal="center"/>
    </x:xf>
    <x:xf numFmtId="165" fontId="0" fillId="0" borderId="28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165" fontId="0" fillId="20" borderId="0" xfId="0" applyNumberFormat="1" applyFont="1" applyFill="1" applyBorder="1"/>
    <x:xf numFmtId="164" fontId="0" fillId="0" borderId="21" xfId="0" applyNumberFormat="1" applyFont="1" applyFill="1" applyBorder="1"/>
    <x:xf numFmtId="165" fontId="0" fillId="20" borderId="22" xfId="0" applyNumberFormat="1" applyFont="1" applyFill="1" applyBorder="1"/>
    <x:xf numFmtId="164" fontId="0" fillId="0" borderId="24" xfId="0" applyNumberFormat="1" applyFont="1" applyFill="1" applyBorder="1"/>
    <x:xf numFmtId="165" fontId="0" fillId="20" xfId="0" applyNumberFormat="1" applyFont="1" applyFill="1" applyBorder="0"/>
    <x:xf numFmtId="164" fontId="0" fillId="0" borderId="26" xfId="0" applyNumberFormat="1" applyFont="1" applyFill="1" applyBorder="1"/>
    <x:xf numFmtId="165" fontId="0" fillId="20" borderId="27" xfId="0" applyNumberFormat="1" applyFont="1" applyFill="1" applyBorder="1"/>
    <x:xf numFmtId="165" fontId="0" fillId="7" xfId="0" applyNumberFormat="1" applyFont="1" applyFill="1" applyBorder="0"/>
    <x:xf numFmtId="200" fontId="0" fillId="0" borderId="0" xfId="0" applyNumberFormat="1" applyFont="1" applyFill="1" applyBorder="1"/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horizont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200" fontId="0" fillId="0" borderId="29" xfId="0" applyNumberFormat="1" applyFont="1" applyFill="1" applyBorder="1"/>
    <x:xf numFmtId="200" fontId="0" fillId="0" borderId="30" xfId="0" applyNumberFormat="1" applyFont="1" applyFill="1" applyBorder="1"/>
    <x:xf numFmtId="200" fontId="0" fillId="0" borderId="31" xfId="0" applyNumberFormat="1" applyFont="1" applyFill="1" applyBorder="1"/>
  </x:cellXfs>
  <x:cellStyles count="1">
    <x:cellStyle name="Normal" xfId="0"/>
  </x:cellStyles>
  <x:dxfs count="15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2de8a8cca4ad3" /><Relationship Type="http://schemas.openxmlformats.org/officeDocument/2006/relationships/theme" Target="/xl/theme/theme1.xml" Id="R9a8b606f502a4219" /><Relationship Type="http://schemas.openxmlformats.org/officeDocument/2006/relationships/sharedStrings" Target="/xl/sharedStrings.xml" Id="R5fb2f25adfb44fdc" /><Relationship Type="http://schemas.openxmlformats.org/officeDocument/2006/relationships/worksheet" Target="/xl/worksheets/sheet1.xml" Id="R7204fd998a2e439e" /><Relationship Type="http://schemas.openxmlformats.org/officeDocument/2006/relationships/worksheet" Target="/xl/worksheets/sheet2.xml" Id="R5c5f11ce4a074a8c" /><Relationship Type="http://schemas.openxmlformats.org/officeDocument/2006/relationships/worksheet" Target="/xl/worksheets/sheet3.xml" Id="Rea0b3c724fc04159" /><Relationship Type="http://schemas.openxmlformats.org/officeDocument/2006/relationships/worksheet" Target="/xl/worksheets/sheet4.xml" Id="Rd4947b59420d4358" /><Relationship Type="http://schemas.openxmlformats.org/officeDocument/2006/relationships/worksheet" Target="/xl/worksheets/sheet5.xml" Id="Rc8c493a015074c11" /><Relationship Type="http://schemas.openxmlformats.org/officeDocument/2006/relationships/worksheet" Target="/xl/worksheets/sheet6.xml" Id="Red7b8c9e9fe744de" /><Relationship Type="http://schemas.openxmlformats.org/officeDocument/2006/relationships/worksheet" Target="/xl/worksheets/sheet7.xml" Id="Rb70d085d35f44312" /><Relationship Type="http://schemas.openxmlformats.org/officeDocument/2006/relationships/worksheet" Target="/xl/worksheets/sheet8.xml" Id="R361164f21e474785" /><Relationship Type="http://schemas.openxmlformats.org/officeDocument/2006/relationships/worksheet" Target="/xl/worksheets/sheet9.xml" Id="R7e106800b9e843d3" /><Relationship Type="http://schemas.openxmlformats.org/officeDocument/2006/relationships/worksheet" Target="/xl/worksheets/sheet10.xml" Id="R0de17d8a629146bb" /><Relationship Type="http://schemas.openxmlformats.org/officeDocument/2006/relationships/worksheet" Target="/xl/worksheets/sheet11.xml" Id="R66693140a66b4bff" /></Relationships>
</file>

<file path=xl/tables/table1.xml><?xml version="1.0" encoding="utf-8"?>
<x:table xmlns:x="http://schemas.openxmlformats.org/spreadsheetml/2006/main" id="1" name="Tabela1" displayName="Tabela1" ref="A8:H39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2.xml><?xml version="1.0" encoding="utf-8"?>
<x:table xmlns:x="http://schemas.openxmlformats.org/spreadsheetml/2006/main" id="2" name="Tabela2" displayName="Tabela2" ref="A8:H26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3.xml><?xml version="1.0" encoding="utf-8"?>
<x:table xmlns:x="http://schemas.openxmlformats.org/spreadsheetml/2006/main" id="3" name="Tabela3" displayName="Tabela3" ref="A8:H42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4.xml><?xml version="1.0" encoding="utf-8"?>
<x:table xmlns:x="http://schemas.openxmlformats.org/spreadsheetml/2006/main" id="13" name="BaseAtendimentos" displayName="BaseAtendimentos" ref="A2:N294" headerRowCount="1">
  <x:tableColumns count="14">
    <x:tableColumn id="1" name="Data"/>
    <x:tableColumn id="2" name="Médico"/>
    <x:tableColumn id="3" name="Especialidade"/>
    <x:tableColumn id="4" name="Nome fila"/>
    <x:tableColumn id="5" name="Início"/>
    <x:tableColumn id="6" name="Término"/>
    <x:tableColumn id="7" name="Tempo pelo sistema"/>
    <x:tableColumn id="8" name="Tempo real apurado"/>
    <x:tableColumn id="9" name="Sobreposição"/>
    <x:tableColumn id="10" name="Observação"/>
    <x:tableColumn id="11" name="Intervalo seguinte"/>
    <x:tableColumn id="12" name="Origem"/>
    <x:tableColumn id="13" name="Tempo considerado"/>
    <x:tableColumn id="14" name="Espera (min)"/>
  </x:tableColumns>
  <x:tableStyleInfo name="TableStyleMedium2" showRowStripes="1"/>
</x:table>
</file>

<file path=xl/tables/table5.xml><?xml version="1.0" encoding="utf-8"?>
<x:table xmlns:x="http://schemas.openxmlformats.org/spreadsheetml/2006/main" id="5" name="Tabela4" displayName="Tabela4" ref="A8:H21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6.xml><?xml version="1.0" encoding="utf-8"?>
<x:table xmlns:x="http://schemas.openxmlformats.org/spreadsheetml/2006/main" id="6" name="Tabela5" displayName="Tabela5" ref="A8:H52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7.xml><?xml version="1.0" encoding="utf-8"?>
<x:table xmlns:x="http://schemas.openxmlformats.org/spreadsheetml/2006/main" id="7" name="Tabela6" displayName="Tabela6" ref="A8:H55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8.xml><?xml version="1.0" encoding="utf-8"?>
<x:table xmlns:x="http://schemas.openxmlformats.org/spreadsheetml/2006/main" id="9" name="Tabela8" displayName="Tabela8" ref="A8:H27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9.xml><?xml version="1.0" encoding="utf-8"?>
<x:table xmlns:x="http://schemas.openxmlformats.org/spreadsheetml/2006/main" id="10" name="Tabela9" displayName="Tabela9" ref="A8:H24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10.xml><?xml version="1.0" encoding="utf-8"?>
<x:table xmlns:x="http://schemas.openxmlformats.org/spreadsheetml/2006/main" id="11" name="Tabela10" displayName="Tabela10" ref="A8:H40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ables/table11.xml><?xml version="1.0" encoding="utf-8"?>
<x:table xmlns:x="http://schemas.openxmlformats.org/spreadsheetml/2006/main" id="12" name="Tabela11" displayName="Tabela11" ref="A8:H46" headerRowCount="1">
  <x:tableColumns count="8">
    <x:tableColumn id="1" name="Nome fila"/>
    <x:tableColumn id="2" name="Início do atendimento"/>
    <x:tableColumn id="3" name="Tempo de atendimento pelo sistema"/>
    <x:tableColumn id="4" name="Término do atendimento"/>
    <x:tableColumn id="5" name="Tempo de atendimento real"/>
    <x:tableColumn id="6" name="Sobreposição identificada"/>
    <x:tableColumn id="7" name="Observação"/>
    <x:tableColumn id="8" name="Intervalo até o próximo atendi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58588880dd4f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4bb48a05324e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ec4a969dd1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a91a90fd8e4c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09c86e67a545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4f89a9a22f49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0d5ad4966643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1e997b37b444b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5465e9fe2e442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848b449a3544f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163d05ed6ec411d" /></Relationships>
</file>

<file path=xl/worksheets/sheet1.xml><?xml version="1.0" encoding="utf-8"?>
<x:worksheet xmlns:x="http://schemas.openxmlformats.org/spreadsheetml/2006/main">
  <x:sheetFormatPr defaultRowHeight="14.25"/>
  <x:cols>
    <x:col min="1" max="1" width="16" customWidth="1"/>
    <x:col min="2" max="2" width="21" customWidth="1"/>
    <x:col min="3" max="3" width="29" customWidth="1"/>
    <x:col min="4" max="4" width="21" customWidth="1"/>
    <x:col min="5" max="5" width="25" customWidth="1"/>
    <x:col min="6" max="6" width="24" customWidth="1"/>
    <x:col min="7" max="7" width="42" customWidth="1"/>
    <x:col min="8" max="8" width="30" customWidth="1"/>
  </x:cols>
  <x:sheetData>
    <x:row r="1" ht="27.950000762939453" customHeight="1">
      <x:c r="A1" s="23" t="s">
        <x:v>0</x:v>
      </x:c>
      <x:c r="B1" s="23"/>
      <x:c r="C1" s="23"/>
      <x:c r="D1" s="23"/>
      <x:c r="E1" s="23"/>
      <x:c r="F1" s="23"/>
      <x:c r="G1" s="23"/>
      <x:c r="H1" s="23"/>
    </x:row>
    <x:row r="2" ht="15">
      <x:c r="A2" s="3" t="s">
        <x:v>1</x:v>
      </x:c>
      <x:c r="B2" s="26" t="s">
        <x:v>2</x:v>
      </x:c>
      <x:c r="C2" s="26"/>
      <x:c r="D2" s="26"/>
      <x:c r="E2" s="26"/>
      <x:c r="F2" s="26"/>
      <x:c r="G2" s="26"/>
      <x:c r="H2" s="26"/>
    </x:row>
    <x:row r="3" ht="15">
      <x:c r="A3" s="3" t="s">
        <x:v>3</x:v>
      </x:c>
      <x:c r="B3" s="26" t="s">
        <x:v>4</x:v>
      </x:c>
      <x:c r="C3" s="26"/>
      <x:c r="D3" s="26"/>
      <x:c r="E3" s="26"/>
      <x:c r="F3" s="26"/>
      <x:c r="G3" s="26"/>
      <x:c r="H3" s="26"/>
    </x:row>
    <x:row r="4" ht="15">
      <x:c r="A4" s="3" t="s">
        <x:v>5</x:v>
      </x:c>
      <x:c r="B4" s="27">
        <x:v>46216</x:v>
      </x:c>
      <x:c r="C4" s="26"/>
      <x:c r="D4" s="26"/>
      <x:c r="E4" s="26"/>
      <x:c r="F4" s="26"/>
      <x:c r="G4" s="26"/>
      <x:c r="H4" s="26"/>
    </x:row>
    <x:row r="6" ht="42" customHeight="1">
      <x:c r="A6" s="24" t="s">
        <x:v>6</x:v>
      </x:c>
      <x:c r="B6" s="24"/>
      <x:c r="C6" s="24"/>
      <x:c r="D6" s="24"/>
      <x:c r="E6" s="24"/>
      <x:c r="F6" s="24"/>
      <x:c r="G6" s="24"/>
      <x:c r="H6" s="24"/>
    </x:row>
    <x:row r="7" ht="42" customHeight="1">
      <x:c r="A7" s="4" t="s">
        <x:v>7</x:v>
      </x:c>
      <x:c r="B7" s="4" t="s">
        <x:v>8</x:v>
      </x:c>
      <x:c r="C7" s="4" t="s">
        <x:v>9</x:v>
      </x:c>
      <x:c r="D7" s="4" t="s">
        <x:v>10</x:v>
      </x:c>
      <x:c r="E7" s="4" t="s">
        <x:v>11</x:v>
      </x:c>
      <x:c r="F7" s="4" t="s">
        <x:v>12</x:v>
      </x:c>
      <x:c r="G7" s="4" t="s">
        <x:v>13</x:v>
      </x:c>
      <x:c r="H7" s="4" t="s">
        <x:v>14</x:v>
      </x:c>
    </x:row>
    <x:row r="8" ht="48" customHeight="1">
      <x:c r="A8" s="5" t="s">
        <x:v>15</x:v>
      </x:c>
      <x:c r="B8" s="6" t="s">
        <x:v>16</x:v>
      </x:c>
      <x:c r="C8" s="6" t="s">
        <x:v>17</x:v>
      </x:c>
      <x:c r="D8" s="5" t="s">
        <x:v>18</x:v>
      </x:c>
      <x:c r="E8" s="6" t="s">
        <x:v>19</x:v>
      </x:c>
      <x:c r="F8" s="6" t="s">
        <x:v>20</x:v>
      </x:c>
      <x:c r="G8" s="6" t="s">
        <x:v>21</x:v>
      </x:c>
      <x:c r="H8" s="5" t="s">
        <x:v>22</x:v>
      </x:c>
    </x:row>
    <x:row r="9">
      <x:c r="A9" s="7" t="s">
        <x:v>23</x:v>
      </x:c>
      <x:c r="B9" s="15">
        <x:v>46216.338888888888</x:v>
      </x:c>
      <x:c r="C9" s="16" t="n">
        <x:f t="shared" ref="C9:C39" si="0">D9-B9</x:f>
        <x:v>0.012500000004365575</x:v>
      </x:c>
      <x:c r="D9" s="15">
        <x:v>46216.351388888892</x:v>
      </x:c>
      <x:c r="E9" s="17" t="str">
        <x:f t="shared" ref="E9:E38" si="1">IF(F9="Sim",B10-B9,"")</x:f>
      </x:c>
      <x:c r="F9" s="11" t="str">
        <x:f t="shared" ref="F9:F38" si="2">IF(D9&gt;B10,"Sim","Não")</x:f>
        <x:v>Não</x:v>
      </x:c>
      <x:c r="G9" s="18" t="str">
        <x:f t="shared" ref="G9:G38" si="3">IF(F9="Sim","Término posterior ao início do atendimento seguinte","")</x:f>
      </x:c>
      <x:c r="H9" s="16" t="n">
        <x:f t="shared" ref="H9:H38" si="4">IF(B10&gt;D9,B10-D9,0)</x:f>
        <x:v>0.0006944444394321181</x:v>
      </x:c>
    </x:row>
    <x:row r="10" ht="17.25" customHeight="1">
      <x:c r="A10" s="7" t="s">
        <x:v>24</x:v>
      </x:c>
      <x:c r="B10" s="8">
        <x:v>46216.352083333331</x:v>
      </x:c>
      <x:c r="C10" s="9">
        <x:f t="shared" si="0"/>
        <x:v>7.0833333338669036E-2</x:v>
      </x:c>
      <x:c r="D10" s="8">
        <x:v>46216.42291666667</x:v>
      </x:c>
      <x:c r="E10" s="13">
        <x:f t="shared" si="1"/>
        <x:v>3.4722222262644209E-3</x:v>
      </x:c>
      <x:c r="F10" s="10" t="str">
        <x:f t="shared" si="2"/>
        <x:v>Sim</x:v>
      </x:c>
      <x:c r="G10" s="12" t="str">
        <x:f t="shared" si="3"/>
        <x:v>Término posterior ao início do atendimento seguinte</x:v>
      </x:c>
      <x:c r="H10" s="16">
        <x:f t="shared" si="4"/>
        <x:v>0</x:v>
      </x:c>
    </x:row>
    <x:row r="11" ht="15.75" customHeight="1">
      <x:c r="A11" s="7" t="s">
        <x:v>25</x:v>
      </x:c>
      <x:c r="B11" s="8">
        <x:v>46216.355555555558</x:v>
      </x:c>
      <x:c r="C11" s="9">
        <x:f t="shared" si="0"/>
        <x:v>3.0555555553291924E-2</x:v>
      </x:c>
      <x:c r="D11" s="8">
        <x:v>46216.386111111111</x:v>
      </x:c>
      <x:c r="E11" s="13">
        <x:f t="shared" si="1"/>
        <x:v>1.8749999995634425E-2</x:v>
      </x:c>
      <x:c r="F11" s="10" t="str">
        <x:f t="shared" si="2"/>
        <x:v>Sim</x:v>
      </x:c>
      <x:c r="G11" s="12" t="str">
        <x:f t="shared" si="3"/>
        <x:v>Término posterior ao início do atendimento seguinte</x:v>
      </x:c>
      <x:c r="H11" s="16">
        <x:f t="shared" si="4"/>
        <x:v>0</x:v>
      </x:c>
    </x:row>
    <x:row r="12">
      <x:c r="A12" s="7" t="s">
        <x:v>26</x:v>
      </x:c>
      <x:c r="B12" s="8">
        <x:v>46216.374305555553</x:v>
      </x:c>
      <x:c r="C12" s="9">
        <x:f t="shared" si="0"/>
        <x:v>1.0416666671517305E-2</x:v>
      </x:c>
      <x:c r="D12" s="8">
        <x:v>46216.384722222225</x:v>
      </x:c>
      <x:c r="E12" s="13" t="str">
        <x:f t="shared" si="1"/>
      </x:c>
      <x:c r="F12" s="10" t="str">
        <x:f t="shared" si="2"/>
        <x:v>Não</x:v>
      </x:c>
      <x:c r="G12" s="12" t="str">
        <x:f t="shared" si="3"/>
      </x:c>
      <x:c r="H12" s="16">
        <x:f t="shared" si="4"/>
        <x:v>2.0833333328482695E-3</x:v>
      </x:c>
    </x:row>
    <x:row r="13">
      <x:c r="A13" s="7" t="s">
        <x:v>27</x:v>
      </x:c>
      <x:c r="B13" s="8">
        <x:v>46216.386805555558</x:v>
      </x:c>
      <x:c r="C13" s="9">
        <x:f t="shared" si="0"/>
        <x:v>1.1111111110949423E-2</x:v>
      </x:c>
      <x:c r="D13" s="8">
        <x:v>46216.397916666669</x:v>
      </x:c>
      <x:c r="E13" s="13" t="str">
        <x:f t="shared" si="1"/>
      </x:c>
      <x:c r="F13" s="10" t="str">
        <x:f t="shared" si="2"/>
        <x:v>Não</x:v>
      </x:c>
      <x:c r="G13" s="12" t="str">
        <x:f t="shared" si="3"/>
      </x:c>
      <x:c r="H13" s="16">
        <x:f t="shared" si="4"/>
        <x:v>0</x:v>
      </x:c>
    </x:row>
    <x:row r="14">
      <x:c r="A14" s="7" t="s">
        <x:v>28</x:v>
      </x:c>
      <x:c r="B14" s="8">
        <x:v>46216.397916666669</x:v>
      </x:c>
      <x:c r="C14" s="9">
        <x:f t="shared" si="0"/>
        <x:v>8.333333331393078E-3</x:v>
      </x:c>
      <x:c r="D14" s="8">
        <x:v>46216.40625</x:v>
      </x:c>
      <x:c r="E14" s="13" t="str">
        <x:f t="shared" si="1"/>
      </x:c>
      <x:c r="F14" s="10" t="str">
        <x:f t="shared" si="2"/>
        <x:v>Não</x:v>
      </x:c>
      <x:c r="G14" s="12" t="str">
        <x:f t="shared" si="3"/>
      </x:c>
      <x:c r="H14" s="16">
        <x:f t="shared" si="4"/>
        <x:v>6.944444467080757E-4</x:v>
      </x:c>
    </x:row>
    <x:row r="15">
      <x:c r="A15" s="7" t="s">
        <x:v>29</x:v>
      </x:c>
      <x:c r="B15" s="8">
        <x:v>46216.406944444447</x:v>
      </x:c>
      <x:c r="C15" s="9">
        <x:f t="shared" si="0"/>
        <x:v>1.3194444443797693E-2</x:v>
      </x:c>
      <x:c r="D15" s="8">
        <x:v>46216.420138888891</x:v>
      </x:c>
      <x:c r="E15" s="13" t="str">
        <x:f t="shared" si="1"/>
      </x:c>
      <x:c r="F15" s="10" t="str">
        <x:f t="shared" si="2"/>
        <x:v>Não</x:v>
      </x:c>
      <x:c r="G15" s="12" t="str">
        <x:f t="shared" si="3"/>
      </x:c>
      <x:c r="H15" s="16">
        <x:f t="shared" si="4"/>
        <x:v>4.166666665696539E-3</x:v>
      </x:c>
    </x:row>
    <x:row r="16">
      <x:c r="A16" s="7" t="s">
        <x:v>30</x:v>
      </x:c>
      <x:c r="B16" s="8">
        <x:v>46216.424305555556</x:v>
      </x:c>
      <x:c r="C16" s="9">
        <x:f t="shared" si="0"/>
        <x:v>5.5555555518367328E-3</x:v>
      </x:c>
      <x:c r="D16" s="8">
        <x:v>46216.429861111108</x:v>
      </x:c>
      <x:c r="E16" s="13" t="str">
        <x:f t="shared" si="1"/>
      </x:c>
      <x:c r="F16" s="10" t="str">
        <x:f t="shared" si="2"/>
        <x:v>Não</x:v>
      </x:c>
      <x:c r="G16" s="12" t="str">
        <x:f t="shared" si="3"/>
      </x:c>
      <x:c r="H16" s="16">
        <x:f t="shared" si="4"/>
        <x:v>6.944444467080757E-4</x:v>
      </x:c>
    </x:row>
    <x:row r="17">
      <x:c r="A17" s="7" t="s">
        <x:v>31</x:v>
      </x:c>
      <x:c r="B17" s="8">
        <x:v>46216.430555555555</x:v>
      </x:c>
      <x:c r="C17" s="9">
        <x:f t="shared" si="0"/>
        <x:v>4.8611111124046147E-3</x:v>
      </x:c>
      <x:c r="D17" s="8">
        <x:v>46216.435416666667</x:v>
      </x:c>
      <x:c r="E17" s="13" t="str">
        <x:f t="shared" si="1"/>
      </x:c>
      <x:c r="F17" s="10" t="str">
        <x:f t="shared" si="2"/>
        <x:v>Não</x:v>
      </x:c>
      <x:c r="G17" s="12" t="str">
        <x:f t="shared" si="3"/>
      </x:c>
      <x:c r="H17" s="16">
        <x:f t="shared" si="4"/>
        <x:v>1.2499999997089617E-2</x:v>
      </x:c>
    </x:row>
    <x:row r="18">
      <x:c r="A18" s="7" t="s">
        <x:v>32</x:v>
      </x:c>
      <x:c r="B18" s="8">
        <x:v>46216.447916666664</x:v>
      </x:c>
      <x:c r="C18" s="9">
        <x:f t="shared" si="0"/>
        <x:v>8.3333333386690356E-3</x:v>
      </x:c>
      <x:c r="D18" s="8">
        <x:v>46216.456250000003</x:v>
      </x:c>
      <x:c r="E18" s="13" t="str">
        <x:f t="shared" si="1"/>
      </x:c>
      <x:c r="F18" s="10" t="str">
        <x:f t="shared" si="2"/>
        <x:v>Não</x:v>
      </x:c>
      <x:c r="G18" s="12" t="str">
        <x:f t="shared" si="3"/>
      </x:c>
      <x:c r="H18" s="16">
        <x:f t="shared" si="4"/>
        <x:v>2.0833333328482695E-3</x:v>
      </x:c>
    </x:row>
    <x:row r="19">
      <x:c r="A19" s="7" t="s">
        <x:v>33</x:v>
      </x:c>
      <x:c r="B19" s="8">
        <x:v>46216.458333333336</x:v>
      </x:c>
      <x:c r="C19" s="9">
        <x:f t="shared" si="0"/>
        <x:v>6.9444444452528842E-3</x:v>
      </x:c>
      <x:c r="D19" s="8">
        <x:v>46216.465277777781</x:v>
      </x:c>
      <x:c r="E19" s="13" t="str">
        <x:f t="shared" si="1"/>
      </x:c>
      <x:c r="F19" s="10" t="str">
        <x:f t="shared" si="2"/>
        <x:v>Não</x:v>
      </x:c>
      <x:c r="G19" s="12" t="str">
        <x:f t="shared" si="3"/>
      </x:c>
      <x:c r="H19" s="16">
        <x:f t="shared" si="4"/>
        <x:v>6.9444443943211809E-4</x:v>
      </x:c>
    </x:row>
    <x:row r="20">
      <x:c r="A20" s="7" t="s">
        <x:v>34</x:v>
      </x:c>
      <x:c r="B20" s="8">
        <x:v>46216.46597222222</x:v>
      </x:c>
      <x:c r="C20" s="9">
        <x:f t="shared" si="0"/>
        <x:v>7.6388888919609599E-3</x:v>
      </x:c>
      <x:c r="D20" s="8">
        <x:v>46216.473611111112</x:v>
      </x:c>
      <x:c r="E20" s="13" t="str">
        <x:f t="shared" si="1"/>
      </x:c>
      <x:c r="F20" s="10" t="str">
        <x:f t="shared" si="2"/>
        <x:v>Não</x:v>
      </x:c>
      <x:c r="G20" s="12" t="str">
        <x:f t="shared" si="3"/>
      </x:c>
      <x:c r="H20" s="16">
        <x:f t="shared" si="4"/>
        <x:v>1.3888888861401938E-3</x:v>
      </x:c>
    </x:row>
    <x:row r="21">
      <x:c r="A21" s="7" t="s">
        <x:v>35</x:v>
      </x:c>
      <x:c r="B21" s="8">
        <x:v>46216.474999999999</x:v>
      </x:c>
      <x:c r="C21" s="9">
        <x:f t="shared" si="0"/>
        <x:v>7.6388888919609599E-3</x:v>
      </x:c>
      <x:c r="D21" s="8">
        <x:v>46216.482638888891</x:v>
      </x:c>
      <x:c r="E21" s="13" t="str">
        <x:f t="shared" si="1"/>
      </x:c>
      <x:c r="F21" s="10" t="str">
        <x:f t="shared" si="2"/>
        <x:v>Não</x:v>
      </x:c>
      <x:c r="G21" s="12" t="str">
        <x:f t="shared" si="3"/>
      </x:c>
      <x:c r="H21" s="16">
        <x:f t="shared" si="4"/>
        <x:v>1.3888888861401938E-3</x:v>
      </x:c>
    </x:row>
    <x:row r="22">
      <x:c r="A22" s="7" t="s">
        <x:v>36</x:v>
      </x:c>
      <x:c r="B22" s="8">
        <x:v>46216.484027777777</x:v>
      </x:c>
      <x:c r="C22" s="9">
        <x:f t="shared" si="0"/>
        <x:v>7.6388888919609599E-3</x:v>
      </x:c>
      <x:c r="D22" s="8">
        <x:v>46216.491666666669</x:v>
      </x:c>
      <x:c r="E22" s="13" t="str">
        <x:f t="shared" si="1"/>
      </x:c>
      <x:c r="F22" s="10" t="str">
        <x:f t="shared" si="2"/>
        <x:v>Não</x:v>
      </x:c>
      <x:c r="G22" s="12" t="str">
        <x:f t="shared" si="3"/>
      </x:c>
      <x:c r="H22" s="16">
        <x:f t="shared" si="4"/>
        <x:v>1.3888888861401938E-3</x:v>
      </x:c>
    </x:row>
    <x:row r="23">
      <x:c r="A23" s="7" t="s">
        <x:v>37</x:v>
      </x:c>
      <x:c r="B23" s="8">
        <x:v>46216.493055555555</x:v>
      </x:c>
      <x:c r="C23" s="9">
        <x:f t="shared" si="0"/>
        <x:v>7.6388888919609599E-3</x:v>
      </x:c>
      <x:c r="D23" s="8">
        <x:v>46216.500694444447</x:v>
      </x:c>
      <x:c r="E23" s="13" t="str">
        <x:f t="shared" si="1"/>
      </x:c>
      <x:c r="F23" s="10" t="str">
        <x:f t="shared" si="2"/>
        <x:v>Não</x:v>
      </x:c>
      <x:c r="G23" s="12" t="str">
        <x:f t="shared" si="3"/>
      </x:c>
      <x:c r="H23" s="16">
        <x:f t="shared" si="4"/>
        <x:v>6.9444443943211809E-4</x:v>
      </x:c>
    </x:row>
    <x:row r="24">
      <x:c r="A24" s="7" t="s">
        <x:v>38</x:v>
      </x:c>
      <x:c r="B24" s="8">
        <x:v>46216.501388888886</x:v>
      </x:c>
      <x:c r="C24" s="9">
        <x:f t="shared" si="0"/>
        <x:v>9.0277777781011537E-3</x:v>
      </x:c>
      <x:c r="D24" s="8">
        <x:v>46216.510416666664</x:v>
      </x:c>
      <x:c r="E24" s="13" t="str">
        <x:f t="shared" si="1"/>
      </x:c>
      <x:c r="F24" s="10" t="str">
        <x:f t="shared" si="2"/>
        <x:v>Não</x:v>
      </x:c>
      <x:c r="G24" s="12" t="str">
        <x:f t="shared" si="3"/>
      </x:c>
      <x:c r="H24" s="16">
        <x:f t="shared" si="4"/>
        <x:v>1.6666666670062114E-2</x:v>
      </x:c>
    </x:row>
    <x:row r="25">
      <x:c r="A25" s="7" t="s">
        <x:v>39</x:v>
      </x:c>
      <x:c r="B25" s="8">
        <x:v>46216.527083333334</x:v>
      </x:c>
      <x:c r="C25" s="9">
        <x:f t="shared" si="0"/>
        <x:v>1.2499999997089617E-2</x:v>
      </x:c>
      <x:c r="D25" s="8">
        <x:v>46216.539583333331</x:v>
      </x:c>
      <x:c r="E25" s="13" t="str">
        <x:f t="shared" si="1"/>
      </x:c>
      <x:c r="F25" s="10" t="str">
        <x:f t="shared" si="2"/>
        <x:v>Não</x:v>
      </x:c>
      <x:c r="G25" s="12" t="str">
        <x:f t="shared" si="3"/>
      </x:c>
      <x:c r="H25" s="16">
        <x:f t="shared" si="4"/>
        <x:v>6.944444467080757E-4</x:v>
      </x:c>
    </x:row>
    <x:row r="26">
      <x:c r="A26" s="7" t="s">
        <x:v>40</x:v>
      </x:c>
      <x:c r="B26" s="8">
        <x:v>46216.540277777778</x:v>
      </x:c>
      <x:c r="C26" s="9">
        <x:f t="shared" si="0"/>
        <x:v>9.7222222248092294E-3</x:v>
      </x:c>
      <x:c r="D26" s="8">
        <x:v>46216.55</x:v>
      </x:c>
      <x:c r="E26" s="13" t="str">
        <x:f t="shared" si="1"/>
      </x:c>
      <x:c r="F26" s="10" t="str">
        <x:f t="shared" si="2"/>
        <x:v>Não</x:v>
      </x:c>
      <x:c r="G26" s="12" t="str">
        <x:f t="shared" si="3"/>
      </x:c>
      <x:c r="H26" s="16">
        <x:f t="shared" si="4"/>
        <x:v>6.9444443943211809E-4</x:v>
      </x:c>
    </x:row>
    <x:row r="27">
      <x:c r="A27" s="7" t="s">
        <x:v>41</x:v>
      </x:c>
      <x:c r="B27" s="8">
        <x:v>46216.550694444442</x:v>
      </x:c>
      <x:c r="C27" s="9">
        <x:f t="shared" si="0"/>
        <x:v>1.2500000004365575E-2</x:v>
      </x:c>
      <x:c r="D27" s="8">
        <x:v>46216.563194444447</x:v>
      </x:c>
      <x:c r="E27" s="13" t="str">
        <x:f t="shared" si="1"/>
      </x:c>
      <x:c r="F27" s="10" t="str">
        <x:f t="shared" si="2"/>
        <x:v>Não</x:v>
      </x:c>
      <x:c r="G27" s="12" t="str">
        <x:f t="shared" si="3"/>
      </x:c>
      <x:c r="H27" s="16">
        <x:f t="shared" si="4"/>
        <x:v>2.0833333328482695E-3</x:v>
      </x:c>
    </x:row>
    <x:row r="28">
      <x:c r="A28" s="7" t="s">
        <x:v>42</x:v>
      </x:c>
      <x:c r="B28" s="8">
        <x:v>46216.56527777778</x:v>
      </x:c>
      <x:c r="C28" s="9">
        <x:f t="shared" si="0"/>
        <x:v>1.5277777776645962E-2</x:v>
      </x:c>
      <x:c r="D28" s="8">
        <x:v>46216.580555555556</x:v>
      </x:c>
      <x:c r="E28" s="13" t="str">
        <x:f t="shared" si="1"/>
      </x:c>
      <x:c r="F28" s="10" t="str">
        <x:f t="shared" si="2"/>
        <x:v>Não</x:v>
      </x:c>
      <x:c r="G28" s="12" t="str">
        <x:f t="shared" si="3"/>
      </x:c>
      <x:c r="H28" s="16">
        <x:f t="shared" si="4"/>
        <x:v>1.3888888861401938E-3</x:v>
      </x:c>
    </x:row>
    <x:row r="29">
      <x:c r="A29" s="7" t="s">
        <x:v>43</x:v>
      </x:c>
      <x:c r="B29" s="8">
        <x:v>46216.581944444442</x:v>
      </x:c>
      <x:c r="C29" s="9">
        <x:f t="shared" si="0"/>
        <x:v>1.4583333337213844E-2</x:v>
      </x:c>
      <x:c r="D29" s="8">
        <x:v>46216.59652777778</x:v>
      </x:c>
      <x:c r="E29" s="13" t="str">
        <x:f t="shared" si="1"/>
      </x:c>
      <x:c r="F29" s="10" t="str">
        <x:f t="shared" si="2"/>
        <x:v>Não</x:v>
      </x:c>
      <x:c r="G29" s="12" t="str">
        <x:f t="shared" si="3"/>
      </x:c>
      <x:c r="H29" s="16">
        <x:f t="shared" si="4"/>
        <x:v>2.0833333328482695E-3</x:v>
      </x:c>
    </x:row>
    <x:row r="30">
      <x:c r="A30" s="7" t="s">
        <x:v>44</x:v>
      </x:c>
      <x:c r="B30" s="8">
        <x:v>46216.598611111112</x:v>
      </x:c>
      <x:c r="C30" s="9">
        <x:f t="shared" si="0"/>
        <x:v>8.333333331393078E-3</x:v>
      </x:c>
      <x:c r="D30" s="8">
        <x:v>46216.606944444444</x:v>
      </x:c>
      <x:c r="E30" s="13" t="str">
        <x:f t="shared" si="1"/>
      </x:c>
      <x:c r="F30" s="10" t="str">
        <x:f t="shared" si="2"/>
        <x:v>Não</x:v>
      </x:c>
      <x:c r="G30" s="12" t="str">
        <x:f t="shared" si="3"/>
      </x:c>
      <x:c r="H30" s="16">
        <x:f t="shared" si="4"/>
        <x:v>2.0833333328482695E-3</x:v>
      </x:c>
    </x:row>
    <x:row r="31">
      <x:c r="A31" s="7" t="s">
        <x:v>45</x:v>
      </x:c>
      <x:c r="B31" s="8">
        <x:v>46216.609027777777</x:v>
      </x:c>
      <x:c r="C31" s="9">
        <x:f t="shared" si="0"/>
        <x:v>1.3888888890505768E-2</x:v>
      </x:c>
      <x:c r="D31" s="8">
        <x:v>46216.622916666667</x:v>
      </x:c>
      <x:c r="E31" s="13" t="str">
        <x:f t="shared" si="1"/>
      </x:c>
      <x:c r="F31" s="10" t="str">
        <x:f t="shared" si="2"/>
        <x:v>Não</x:v>
      </x:c>
      <x:c r="G31" s="12" t="str">
        <x:f t="shared" si="3"/>
      </x:c>
      <x:c r="H31" s="16">
        <x:f t="shared" si="4"/>
        <x:v>6.944444467080757E-4</x:v>
      </x:c>
    </x:row>
    <x:row r="32">
      <x:c r="A32" s="7" t="s">
        <x:v>46</x:v>
      </x:c>
      <x:c r="B32" s="8">
        <x:v>46216.623611111114</x:v>
      </x:c>
      <x:c r="C32" s="9">
        <x:f t="shared" si="0"/>
        <x:v>6.2499999985448085E-3</x:v>
      </x:c>
      <x:c r="D32" s="8">
        <x:v>46216.629861111112</x:v>
      </x:c>
      <x:c r="E32" s="13" t="str">
        <x:f t="shared" si="1"/>
      </x:c>
      <x:c r="F32" s="10" t="str">
        <x:f t="shared" si="2"/>
        <x:v>Não</x:v>
      </x:c>
      <x:c r="G32" s="12" t="str">
        <x:f t="shared" si="3"/>
      </x:c>
      <x:c r="H32" s="16">
        <x:f t="shared" si="4"/>
        <x:v>4.8611111124046147E-3</x:v>
      </x:c>
    </x:row>
    <x:row r="33">
      <x:c r="A33" s="7" t="s">
        <x:v>47</x:v>
      </x:c>
      <x:c r="B33" s="8">
        <x:v>46216.634722222225</x:v>
      </x:c>
      <x:c r="C33" s="9">
        <x:f t="shared" si="0"/>
        <x:v>1.0416666664241347E-2</x:v>
      </x:c>
      <x:c r="D33" s="8">
        <x:v>46216.645138888889</x:v>
      </x:c>
      <x:c r="E33" s="13" t="str">
        <x:f t="shared" si="1"/>
      </x:c>
      <x:c r="F33" s="10" t="str">
        <x:f t="shared" si="2"/>
        <x:v>Não</x:v>
      </x:c>
      <x:c r="G33" s="12" t="str">
        <x:f t="shared" si="3"/>
      </x:c>
      <x:c r="H33" s="16">
        <x:f t="shared" si="4"/>
        <x:v>2.0833333328482695E-3</x:v>
      </x:c>
    </x:row>
    <x:row r="34">
      <x:c r="A34" s="7" t="s">
        <x:v>48</x:v>
      </x:c>
      <x:c r="B34" s="8">
        <x:v>46216.647222222222</x:v>
      </x:c>
      <x:c r="C34" s="9">
        <x:f t="shared" si="0"/>
        <x:v>1.3888888890505768E-2</x:v>
      </x:c>
      <x:c r="D34" s="8">
        <x:v>46216.661111111112</x:v>
      </x:c>
      <x:c r="E34" s="13" t="str">
        <x:f t="shared" si="1"/>
      </x:c>
      <x:c r="F34" s="10" t="str">
        <x:f t="shared" si="2"/>
        <x:v>Não</x:v>
      </x:c>
      <x:c r="G34" s="12" t="str">
        <x:f t="shared" si="3"/>
      </x:c>
      <x:c r="H34" s="16">
        <x:f t="shared" si="4"/>
        <x:v>0</x:v>
      </x:c>
    </x:row>
    <x:row r="35">
      <x:c r="A35" s="7" t="s">
        <x:v>49</x:v>
      </x:c>
      <x:c r="B35" s="8">
        <x:v>46216.661111111112</x:v>
      </x:c>
      <x:c r="C35" s="9">
        <x:f t="shared" si="0"/>
        <x:v>9.0277777781011537E-3</x:v>
      </x:c>
      <x:c r="D35" s="8">
        <x:v>46216.670138888891</x:v>
      </x:c>
      <x:c r="E35" s="13" t="str">
        <x:f t="shared" si="1"/>
      </x:c>
      <x:c r="F35" s="10" t="str">
        <x:f t="shared" si="2"/>
        <x:v>Não</x:v>
      </x:c>
      <x:c r="G35" s="12" t="str">
        <x:f t="shared" si="3"/>
      </x:c>
      <x:c r="H35" s="16">
        <x:f t="shared" si="4"/>
        <x:v>9.7222222175332718E-3</x:v>
      </x:c>
    </x:row>
    <x:row r="36">
      <x:c r="A36" s="7" t="s">
        <x:v>50</x:v>
      </x:c>
      <x:c r="B36" s="8">
        <x:v>46216.679861111108</x:v>
      </x:c>
      <x:c r="C36" s="9">
        <x:f t="shared" si="0"/>
        <x:v>7.6388888919609599E-3</x:v>
      </x:c>
      <x:c r="D36" s="8">
        <x:v>46216.6875</x:v>
      </x:c>
      <x:c r="E36" s="13" t="str">
        <x:f t="shared" si="1"/>
      </x:c>
      <x:c r="F36" s="10" t="str">
        <x:f t="shared" si="2"/>
        <x:v>Não</x:v>
      </x:c>
      <x:c r="G36" s="12" t="str">
        <x:f t="shared" si="3"/>
      </x:c>
      <x:c r="H36" s="16">
        <x:f t="shared" si="4"/>
        <x:v>1.3888888861401938E-3</x:v>
      </x:c>
    </x:row>
    <x:row r="37">
      <x:c r="A37" s="7" t="s">
        <x:v>51</x:v>
      </x:c>
      <x:c r="B37" s="8">
        <x:v>46216.688888888886</x:v>
      </x:c>
      <x:c r="C37" s="9">
        <x:f t="shared" si="0"/>
        <x:v>6.9444444452528842E-3</x:v>
      </x:c>
      <x:c r="D37" s="8">
        <x:v>46216.695833333331</x:v>
      </x:c>
      <x:c r="E37" s="13" t="str">
        <x:f t="shared" si="1"/>
      </x:c>
      <x:c r="F37" s="10" t="str">
        <x:f t="shared" si="2"/>
        <x:v>Não</x:v>
      </x:c>
      <x:c r="G37" s="12" t="str">
        <x:f t="shared" si="3"/>
      </x:c>
      <x:c r="H37" s="16">
        <x:f t="shared" si="4"/>
        <x:v>0</x:v>
      </x:c>
    </x:row>
    <x:row r="38">
      <x:c r="A38" s="7" t="s">
        <x:v>52</x:v>
      </x:c>
      <x:c r="B38" s="8">
        <x:v>46216.695833333331</x:v>
      </x:c>
      <x:c r="C38" s="9">
        <x:f t="shared" si="0"/>
        <x:v>1.3888888890505768E-2</x:v>
      </x:c>
      <x:c r="D38" s="8">
        <x:v>46216.709722222222</x:v>
      </x:c>
      <x:c r="E38" s="13" t="str">
        <x:f t="shared" si="1"/>
      </x:c>
      <x:c r="F38" s="10" t="str">
        <x:f t="shared" si="2"/>
        <x:v>Não</x:v>
      </x:c>
      <x:c r="G38" s="12" t="str">
        <x:f t="shared" si="3"/>
      </x:c>
      <x:c r="H38" s="16">
        <x:f t="shared" si="4"/>
        <x:v>6.944444467080757E-4</x:v>
      </x:c>
    </x:row>
    <x:row r="39">
      <x:c r="A39" s="7" t="s">
        <x:v>53</x:v>
      </x:c>
      <x:c r="B39" s="15">
        <x:v>46216.710416666669</x:v>
      </x:c>
      <x:c r="C39" s="16">
        <x:f t="shared" si="0"/>
        <x:v>6.9444444452528842E-3</x:v>
      </x:c>
      <x:c r="D39" s="15">
        <x:v>46216.717361111114</x:v>
      </x:c>
      <x:c r="E39" s="17"/>
      <x:c r="F39" s="11" t="s">
        <x:v>54</x:v>
      </x:c>
      <x:c r="G39" s="18"/>
      <x:c r="H39" s="11" t="s">
        <x:v>55</x:v>
      </x:c>
    </x:row>
  </x:sheetData>
  <x:mergeCells>
    <x:mergeCell ref="A1:H1"/>
    <x:mergeCell ref="B2:H2"/>
    <x:mergeCell ref="B3:H3"/>
    <x:mergeCell ref="B4:H4"/>
    <x:mergeCell ref="A6:H6"/>
  </x:mergeCells>
  <x:conditionalFormatting sqref="A9:H39">
    <x:cfRule type="expression" dxfId="3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58588880dd4f31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2" width="21" customWidth="1"/>
    <x:col min="3" max="3" width="29" customWidth="1"/>
    <x:col min="4" max="4" width="21" customWidth="1"/>
    <x:col min="5" max="5" width="25" customWidth="1"/>
    <x:col min="6" max="6" width="24" customWidth="1"/>
    <x:col min="7" max="7" width="42" customWidth="1"/>
    <x:col min="8" max="8" width="30" customWidth="1"/>
  </x:cols>
  <x:sheetData>
    <x:row r="1" ht="27.950000762939453" customHeight="1">
      <x:c r="A1" s="23" t="s">
        <x:v>56</x:v>
      </x:c>
      <x:c r="B1" s="23"/>
      <x:c r="C1" s="23"/>
      <x:c r="D1" s="23"/>
      <x:c r="E1" s="23"/>
      <x:c r="F1" s="23"/>
      <x:c r="G1" s="23"/>
      <x:c r="H1" s="23"/>
    </x:row>
    <x:row r="2" ht="15">
      <x:c r="A2" s="3" t="s">
        <x:v>1</x:v>
      </x:c>
      <x:c r="B2" s="26" t="s">
        <x:v>57</x:v>
      </x:c>
      <x:c r="C2" s="26"/>
      <x:c r="D2" s="26"/>
      <x:c r="E2" s="26"/>
      <x:c r="F2" s="26"/>
      <x:c r="G2" s="26"/>
      <x:c r="H2" s="26"/>
    </x:row>
    <x:row r="3" ht="15">
      <x:c r="A3" s="3" t="s">
        <x:v>3</x:v>
      </x:c>
      <x:c r="B3" s="26" t="s">
        <x:v>58</x:v>
      </x:c>
      <x:c r="C3" s="26"/>
      <x:c r="D3" s="26"/>
      <x:c r="E3" s="26"/>
      <x:c r="F3" s="26"/>
      <x:c r="G3" s="26"/>
      <x:c r="H3" s="26"/>
    </x:row>
    <x:row r="4" ht="15">
      <x:c r="A4" s="3" t="s">
        <x:v>5</x:v>
      </x:c>
      <x:c r="B4" s="27">
        <x:v>46216</x:v>
      </x:c>
      <x:c r="C4" s="26"/>
      <x:c r="D4" s="26"/>
      <x:c r="E4" s="26"/>
      <x:c r="F4" s="26"/>
      <x:c r="G4" s="26"/>
      <x:c r="H4" s="26"/>
    </x:row>
    <x:row r="6" ht="42" customHeight="1">
      <x:c r="A6" s="24" t="s">
        <x:v>6</x:v>
      </x:c>
      <x:c r="B6" s="24"/>
      <x:c r="C6" s="24"/>
      <x:c r="D6" s="24"/>
      <x:c r="E6" s="24"/>
      <x:c r="F6" s="24"/>
      <x:c r="G6" s="24"/>
      <x:c r="H6" s="24"/>
    </x:row>
    <x:row r="7" ht="42" customHeight="1">
      <x:c r="A7" s="4" t="s">
        <x:v>7</x:v>
      </x:c>
      <x:c r="B7" s="4" t="s">
        <x:v>8</x:v>
      </x:c>
      <x:c r="C7" s="4" t="s">
        <x:v>9</x:v>
      </x:c>
      <x:c r="D7" s="4" t="s">
        <x:v>10</x:v>
      </x:c>
      <x:c r="E7" s="4" t="s">
        <x:v>11</x:v>
      </x:c>
      <x:c r="F7" s="4" t="s">
        <x:v>12</x:v>
      </x:c>
      <x:c r="G7" s="4" t="s">
        <x:v>13</x:v>
      </x:c>
      <x:c r="H7" s="4" t="s">
        <x:v>14</x:v>
      </x:c>
    </x:row>
    <x:row r="8" ht="48" customHeight="1">
      <x:c r="A8" s="5" t="s">
        <x:v>15</x:v>
      </x:c>
      <x:c r="B8" s="6" t="s">
        <x:v>16</x:v>
      </x:c>
      <x:c r="C8" s="6" t="s">
        <x:v>17</x:v>
      </x:c>
      <x:c r="D8" s="5" t="s">
        <x:v>18</x:v>
      </x:c>
      <x:c r="E8" s="6" t="s">
        <x:v>19</x:v>
      </x:c>
      <x:c r="F8" s="6" t="s">
        <x:v>20</x:v>
      </x:c>
      <x:c r="G8" s="6" t="s">
        <x:v>21</x:v>
      </x:c>
      <x:c r="H8" s="5" t="s">
        <x:v>22</x:v>
      </x:c>
    </x:row>
    <x:row r="9">
      <x:c r="A9" s="7" t="s">
        <x:v>23</x:v>
      </x:c>
      <x:c r="B9" s="15">
        <x:v>46216.342361111114</x:v>
      </x:c>
      <x:c r="C9" s="16" t="n">
        <x:f t="shared" ref="C9:C26" si="0">D9-B9</x:f>
        <x:v>0.030555555553291924</x:v>
      </x:c>
      <x:c r="D9" s="15">
        <x:v>46216.372916666667</x:v>
      </x:c>
      <x:c r="E9" s="17" t="str">
        <x:f t="shared" ref="E9:E25" si="1">IF(F9="Sim",B10-B9,"")</x:f>
      </x:c>
      <x:c r="F9" s="11" t="str">
        <x:f t="shared" ref="F9:F25" si="2">IF(D9&gt;B10,"Sim","Não")</x:f>
        <x:v>Não</x:v>
      </x:c>
      <x:c r="G9" s="18" t="str">
        <x:f t="shared" ref="G9:G25" si="3">IF(F9="Sim","Término posterior ao início do atendimento seguinte","")</x:f>
      </x:c>
      <x:c r="H9" s="16" t="n">
        <x:f t="shared" ref="H9:H25" si="4">IF(B10&gt;D9,B10-D9,0)</x:f>
        <x:v>0</x:v>
      </x:c>
    </x:row>
    <x:row r="10">
      <x:c r="A10" s="7" t="s">
        <x:v>24</x:v>
      </x:c>
      <x:c r="B10" s="8">
        <x:v>46216.372916666667</x:v>
      </x:c>
      <x:c r="C10" s="9">
        <x:f t="shared" si="0"/>
        <x:v>1.0416666664241347E-2</x:v>
      </x:c>
      <x:c r="D10" s="8">
        <x:v>46216.383333333331</x:v>
      </x:c>
      <x:c r="E10" s="13" t="str">
        <x:f t="shared" si="1"/>
      </x:c>
      <x:c r="F10" s="10" t="str">
        <x:f t="shared" si="2"/>
        <x:v>Não</x:v>
      </x:c>
      <x:c r="G10" s="12" t="str">
        <x:f t="shared" si="3"/>
      </x:c>
      <x:c r="H10" s="16">
        <x:f t="shared" si="4"/>
        <x:v>2.0833333328482695E-3</x:v>
      </x:c>
    </x:row>
    <x:row r="11">
      <x:c r="A11" s="7" t="s">
        <x:v>25</x:v>
      </x:c>
      <x:c r="B11" s="8">
        <x:v>46216.385416666664</x:v>
      </x:c>
      <x:c r="C11" s="9">
        <x:f t="shared" si="0"/>
        <x:v>1.1111111110949423E-2</x:v>
      </x:c>
      <x:c r="D11" s="8">
        <x:v>46216.396527777775</x:v>
      </x:c>
      <x:c r="E11" s="13" t="str">
        <x:f t="shared" si="1"/>
      </x:c>
      <x:c r="F11" s="10" t="str">
        <x:f t="shared" si="2"/>
        <x:v>Não</x:v>
      </x:c>
      <x:c r="G11" s="12" t="str">
        <x:f t="shared" si="3"/>
      </x:c>
      <x:c r="H11" s="16">
        <x:f t="shared" si="4"/>
        <x:v>2.0833333328482695E-3</x:v>
      </x:c>
    </x:row>
    <x:row r="12">
      <x:c r="A12" s="7" t="s">
        <x:v>26</x:v>
      </x:c>
      <x:c r="B12" s="8">
        <x:v>46216.398611111108</x:v>
      </x:c>
      <x:c r="C12" s="9">
        <x:f t="shared" si="0"/>
        <x:v>6.2500000058207661E-3</x:v>
      </x:c>
      <x:c r="D12" s="8">
        <x:v>46216.404861111114</x:v>
      </x:c>
      <x:c r="E12" s="13" t="str">
        <x:f t="shared" si="1"/>
      </x:c>
      <x:c r="F12" s="10" t="str">
        <x:f t="shared" si="2"/>
        <x:v>Não</x:v>
      </x:c>
      <x:c r="G12" s="12" t="str">
        <x:f t="shared" si="3"/>
      </x:c>
      <x:c r="H12" s="16">
        <x:f t="shared" si="4"/>
        <x:v>6.9444443943211809E-4</x:v>
      </x:c>
    </x:row>
    <x:row r="13">
      <x:c r="A13" s="7" t="s">
        <x:v>27</x:v>
      </x:c>
      <x:c r="B13" s="8">
        <x:v>46216.405555555553</x:v>
      </x:c>
      <x:c r="C13" s="9">
        <x:f t="shared" si="0"/>
        <x:v>1.8750000002910383E-2</x:v>
      </x:c>
      <x:c r="D13" s="8">
        <x:v>46216.424305555556</x:v>
      </x:c>
      <x:c r="E13" s="13" t="str">
        <x:f t="shared" si="1"/>
      </x:c>
      <x:c r="F13" s="10" t="str">
        <x:f t="shared" si="2"/>
        <x:v>Não</x:v>
      </x:c>
      <x:c r="G13" s="12" t="str">
        <x:f t="shared" si="3"/>
      </x:c>
      <x:c r="H13" s="16">
        <x:f t="shared" si="4"/>
        <x:v>0</x:v>
      </x:c>
    </x:row>
    <x:row r="14">
      <x:c r="A14" s="7" t="s">
        <x:v>28</x:v>
      </x:c>
      <x:c r="B14" s="8">
        <x:v>46216.424305555556</x:v>
      </x:c>
      <x:c r="C14" s="9">
        <x:f t="shared" si="0"/>
        <x:v>7.6388888846850023E-3</x:v>
      </x:c>
      <x:c r="D14" s="8">
        <x:v>46216.431944444441</x:v>
      </x:c>
      <x:c r="E14" s="13" t="str">
        <x:f t="shared" si="1"/>
      </x:c>
      <x:c r="F14" s="10" t="str">
        <x:f t="shared" si="2"/>
        <x:v>Não</x:v>
      </x:c>
      <x:c r="G14" s="12" t="str">
        <x:f t="shared" si="3"/>
      </x:c>
      <x:c r="H14" s="16">
        <x:f t="shared" si="4"/>
        <x:v>2.0833333401242271E-3</x:v>
      </x:c>
    </x:row>
    <x:row r="15">
      <x:c r="A15" s="7" t="s">
        <x:v>29</x:v>
      </x:c>
      <x:c r="B15" s="8">
        <x:v>46216.434027777781</x:v>
      </x:c>
      <x:c r="C15" s="9">
        <x:f t="shared" si="0"/>
        <x:v>8.333333331393078E-3</x:v>
      </x:c>
      <x:c r="D15" s="8">
        <x:v>46216.442361111112</x:v>
      </x:c>
      <x:c r="E15" s="13" t="str">
        <x:f t="shared" si="1"/>
      </x:c>
      <x:c r="F15" s="10" t="str">
        <x:f t="shared" si="2"/>
        <x:v>Não</x:v>
      </x:c>
      <x:c r="G15" s="12" t="str">
        <x:f t="shared" si="3"/>
      </x:c>
      <x:c r="H15" s="16">
        <x:f t="shared" si="4"/>
        <x:v>6.944444467080757E-4</x:v>
      </x:c>
    </x:row>
    <x:row r="16">
      <x:c r="A16" s="7" t="s">
        <x:v>30</x:v>
      </x:c>
      <x:c r="B16" s="8">
        <x:v>46216.443055555559</x:v>
      </x:c>
      <x:c r="C16" s="9">
        <x:f t="shared" si="0"/>
        <x:v>5.5555555518367328E-3</x:v>
      </x:c>
      <x:c r="D16" s="8">
        <x:v>46216.448611111111</x:v>
      </x:c>
      <x:c r="E16" s="13" t="str">
        <x:f t="shared" si="1"/>
      </x:c>
      <x:c r="F16" s="10" t="str">
        <x:f t="shared" si="2"/>
        <x:v>Não</x:v>
      </x:c>
      <x:c r="G16" s="12" t="str">
        <x:f t="shared" si="3"/>
      </x:c>
      <x:c r="H16" s="16">
        <x:f t="shared" si="4"/>
        <x:v>6.944444467080757E-4</x:v>
      </x:c>
    </x:row>
    <x:row r="17">
      <x:c r="A17" s="7" t="s">
        <x:v>31</x:v>
      </x:c>
      <x:c r="B17" s="8">
        <x:v>46216.449305555558</x:v>
      </x:c>
      <x:c r="C17" s="9">
        <x:f t="shared" si="0"/>
        <x:v>9.0277777781011537E-3</x:v>
      </x:c>
      <x:c r="D17" s="8">
        <x:v>46216.458333333336</x:v>
      </x:c>
      <x:c r="E17" s="13" t="str">
        <x:f t="shared" si="1"/>
      </x:c>
      <x:c r="F17" s="10" t="str">
        <x:f t="shared" si="2"/>
        <x:v>Não</x:v>
      </x:c>
      <x:c r="G17" s="12" t="str">
        <x:f t="shared" si="3"/>
      </x:c>
      <x:c r="H17" s="16">
        <x:f t="shared" si="4"/>
        <x:v>6.9444443943211809E-4</x:v>
      </x:c>
    </x:row>
    <x:row r="18">
      <x:c r="A18" s="7" t="s">
        <x:v>32</x:v>
      </x:c>
      <x:c r="B18" s="8">
        <x:v>46216.459027777775</x:v>
      </x:c>
      <x:c r="C18" s="9">
        <x:f t="shared" si="0"/>
        <x:v>1.4583333337213844E-2</x:v>
      </x:c>
      <x:c r="D18" s="8">
        <x:v>46216.473611111112</x:v>
      </x:c>
      <x:c r="E18" s="13" t="str">
        <x:f t="shared" si="1"/>
      </x:c>
      <x:c r="F18" s="10" t="str">
        <x:f t="shared" si="2"/>
        <x:v>Não</x:v>
      </x:c>
      <x:c r="G18" s="12" t="str">
        <x:f t="shared" si="3"/>
      </x:c>
      <x:c r="H18" s="16">
        <x:f t="shared" si="4"/>
        <x:v>6.944444467080757E-4</x:v>
      </x:c>
    </x:row>
    <x:row r="19">
      <x:c r="A19" s="7" t="s">
        <x:v>33</x:v>
      </x:c>
      <x:c r="B19" s="8">
        <x:v>46216.474305555559</x:v>
      </x:c>
      <x:c r="C19" s="9">
        <x:f t="shared" si="0"/>
        <x:v>1.0416666664241347E-2</x:v>
      </x:c>
      <x:c r="D19" s="8">
        <x:v>46216.484722222223</x:v>
      </x:c>
      <x:c r="E19" s="13" t="str">
        <x:f t="shared" si="1"/>
      </x:c>
      <x:c r="F19" s="10" t="str">
        <x:f t="shared" si="2"/>
        <x:v>Não</x:v>
      </x:c>
      <x:c r="G19" s="12" t="str">
        <x:f t="shared" si="3"/>
      </x:c>
      <x:c r="H19" s="16">
        <x:f t="shared" si="4"/>
        <x:v>4.166666665696539E-3</x:v>
      </x:c>
    </x:row>
    <x:row r="20">
      <x:c r="A20" s="7" t="s">
        <x:v>34</x:v>
      </x:c>
      <x:c r="B20" s="8">
        <x:v>46216.488888888889</x:v>
      </x:c>
      <x:c r="C20" s="9">
        <x:f t="shared" si="0"/>
        <x:v>9.7222222248092294E-3</x:v>
      </x:c>
      <x:c r="D20" s="8">
        <x:v>46216.498611111114</x:v>
      </x:c>
      <x:c r="E20" s="13" t="str">
        <x:f t="shared" si="1"/>
      </x:c>
      <x:c r="F20" s="10" t="str">
        <x:f t="shared" si="2"/>
        <x:v>Não</x:v>
      </x:c>
      <x:c r="G20" s="12" t="str">
        <x:f t="shared" si="3"/>
      </x:c>
      <x:c r="H20" s="16">
        <x:f t="shared" si="4"/>
        <x:v>6.9444443943211809E-4</x:v>
      </x:c>
    </x:row>
    <x:row r="21">
      <x:c r="A21" s="7" t="s">
        <x:v>35</x:v>
      </x:c>
      <x:c r="B21" s="8">
        <x:v>46216.499305555553</x:v>
      </x:c>
      <x:c r="C21" s="9">
        <x:f t="shared" si="0"/>
        <x:v>6.2500000058207661E-3</x:v>
      </x:c>
      <x:c r="D21" s="8">
        <x:v>46216.505555555559</x:v>
      </x:c>
      <x:c r="E21" s="13" t="str">
        <x:f t="shared" si="1"/>
      </x:c>
      <x:c r="F21" s="10" t="str">
        <x:f t="shared" si="2"/>
        <x:v>Não</x:v>
      </x:c>
      <x:c r="G21" s="12" t="str">
        <x:f t="shared" si="3"/>
      </x:c>
      <x:c r="H21" s="16">
        <x:f t="shared" si="4"/>
        <x:v>6.9444443943211809E-4</x:v>
      </x:c>
    </x:row>
    <x:row r="22">
      <x:c r="A22" s="7" t="s">
        <x:v>36</x:v>
      </x:c>
      <x:c r="B22" s="8">
        <x:v>46216.506249999999</x:v>
      </x:c>
      <x:c r="C22" s="9">
        <x:f t="shared" si="0"/>
        <x:v>1.5972222223354038E-2</x:v>
      </x:c>
      <x:c r="D22" s="8">
        <x:v>46216.522222222222</x:v>
      </x:c>
      <x:c r="E22" s="13" t="str">
        <x:f t="shared" si="1"/>
      </x:c>
      <x:c r="F22" s="10" t="str">
        <x:f t="shared" si="2"/>
        <x:v>Não</x:v>
      </x:c>
      <x:c r="G22" s="12" t="str">
        <x:f t="shared" si="3"/>
      </x:c>
      <x:c r="H22" s="16">
        <x:f t="shared" si="4"/>
        <x:v>0</x:v>
      </x:c>
    </x:row>
    <x:row r="23">
      <x:c r="A23" s="7" t="s">
        <x:v>37</x:v>
      </x:c>
      <x:c r="B23" s="8">
        <x:v>46216.522222222222</x:v>
      </x:c>
      <x:c r="C23" s="9">
        <x:f t="shared" si="0"/>
        <x:v>7.6388888919609599E-3</x:v>
      </x:c>
      <x:c r="D23" s="8">
        <x:v>46216.529861111114</x:v>
      </x:c>
      <x:c r="E23" s="13" t="str">
        <x:f t="shared" si="1"/>
      </x:c>
      <x:c r="F23" s="10" t="str">
        <x:f t="shared" si="2"/>
        <x:v>Não</x:v>
      </x:c>
      <x:c r="G23" s="12" t="str">
        <x:f t="shared" si="3"/>
      </x:c>
      <x:c r="H23" s="16">
        <x:f t="shared" si="4"/>
        <x:v>1.3888888861401938E-3</x:v>
      </x:c>
    </x:row>
    <x:row r="24">
      <x:c r="A24" s="7" t="s">
        <x:v>38</x:v>
      </x:c>
      <x:c r="B24" s="8">
        <x:v>46216.53125</x:v>
      </x:c>
      <x:c r="C24" s="9">
        <x:f t="shared" si="0"/>
        <x:v>4.8611111124046147E-3</x:v>
      </x:c>
      <x:c r="D24" s="8">
        <x:v>46216.536111111112</x:v>
      </x:c>
      <x:c r="E24" s="13" t="str">
        <x:f t="shared" si="1"/>
      </x:c>
      <x:c r="F24" s="10" t="str">
        <x:f t="shared" si="2"/>
        <x:v>Não</x:v>
      </x:c>
      <x:c r="G24" s="12" t="str">
        <x:f t="shared" si="3"/>
      </x:c>
      <x:c r="H24" s="16">
        <x:f t="shared" si="4"/>
        <x:v>2.7777777795563452E-3</x:v>
      </x:c>
    </x:row>
    <x:row r="25">
      <x:c r="A25" s="7" t="s">
        <x:v>39</x:v>
      </x:c>
      <x:c r="B25" s="8">
        <x:v>46216.538888888892</x:v>
      </x:c>
      <x:c r="C25" s="9">
        <x:f t="shared" si="0"/>
        <x:v>5.5555555518367328E-3</x:v>
      </x:c>
      <x:c r="D25" s="8">
        <x:v>46216.544444444444</x:v>
      </x:c>
      <x:c r="E25" s="13" t="str">
        <x:f t="shared" si="1"/>
      </x:c>
      <x:c r="F25" s="10" t="str">
        <x:f t="shared" si="2"/>
        <x:v>Não</x:v>
      </x:c>
      <x:c r="G25" s="12" t="str">
        <x:f t="shared" si="3"/>
      </x:c>
      <x:c r="H25" s="16">
        <x:f t="shared" si="4"/>
        <x:v>2.7777777795563452E-3</x:v>
      </x:c>
    </x:row>
    <x:row r="26">
      <x:c r="A26" s="7" t="s">
        <x:v>40</x:v>
      </x:c>
      <x:c r="B26" s="15">
        <x:v>46216.547222222223</x:v>
      </x:c>
      <x:c r="C26" s="16">
        <x:f t="shared" si="0"/>
        <x:v>5.5555555518367328E-3</x:v>
      </x:c>
      <x:c r="D26" s="15">
        <x:v>46216.552777777775</x:v>
      </x:c>
      <x:c r="E26" s="17"/>
      <x:c r="F26" s="11" t="s">
        <x:v>54</x:v>
      </x:c>
      <x:c r="G26" s="18"/>
      <x:c r="H26" s="11" t="s">
        <x:v>55</x:v>
      </x:c>
    </x:row>
  </x:sheetData>
  <x:mergeCells>
    <x:mergeCell ref="A1:H1"/>
    <x:mergeCell ref="B2:H2"/>
    <x:mergeCell ref="B3:H3"/>
    <x:mergeCell ref="B4:H4"/>
    <x:mergeCell ref="A6:H6"/>
  </x:mergeCells>
  <x:conditionalFormatting sqref="A9:H26">
    <x:cfRule type="expression" dxfId="2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4bb48a05324ec3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6" customWidth="1"/>
    <x:col min="2" max="2" width="21" customWidth="1"/>
    <x:col min="3" max="3" width="29" customWidth="1"/>
    <x:col min="4" max="4" width="21" customWidth="1"/>
    <x:col min="5" max="5" width="25" customWidth="1"/>
    <x:col min="6" max="6" width="24" customWidth="1"/>
    <x:col min="7" max="7" width="42" customWidth="1"/>
    <x:col min="8" max="8" width="30" customWidth="1"/>
  </x:cols>
  <x:sheetData>
    <x:row r="1" ht="27.950000762939453" customHeight="1">
      <x:c r="A1" s="23" t="s">
        <x:v>59</x:v>
      </x:c>
      <x:c r="B1" s="23"/>
      <x:c r="C1" s="23"/>
      <x:c r="D1" s="23"/>
      <x:c r="E1" s="23"/>
      <x:c r="F1" s="23"/>
      <x:c r="G1" s="23"/>
      <x:c r="H1" s="23"/>
    </x:row>
    <x:row r="2" ht="15">
      <x:c r="A2" s="3" t="s">
        <x:v>1</x:v>
      </x:c>
      <x:c r="B2" s="26" t="s">
        <x:v>60</x:v>
      </x:c>
      <x:c r="C2" s="26"/>
      <x:c r="D2" s="26"/>
      <x:c r="E2" s="26"/>
      <x:c r="F2" s="26"/>
      <x:c r="G2" s="26"/>
      <x:c r="H2" s="26"/>
    </x:row>
    <x:row r="3" ht="15">
      <x:c r="A3" s="3" t="s">
        <x:v>3</x:v>
      </x:c>
      <x:c r="B3" s="26" t="s">
        <x:v>61</x:v>
      </x:c>
      <x:c r="C3" s="26"/>
      <x:c r="D3" s="26"/>
      <x:c r="E3" s="26"/>
      <x:c r="F3" s="26"/>
      <x:c r="G3" s="26"/>
      <x:c r="H3" s="26"/>
    </x:row>
    <x:row r="4" ht="15">
      <x:c r="A4" s="3" t="s">
        <x:v>5</x:v>
      </x:c>
      <x:c r="B4" s="27">
        <x:v>46216</x:v>
      </x:c>
      <x:c r="C4" s="26"/>
      <x:c r="D4" s="26"/>
      <x:c r="E4" s="26"/>
      <x:c r="F4" s="26"/>
      <x:c r="G4" s="26"/>
      <x:c r="H4" s="26"/>
    </x:row>
    <x:row r="6" ht="42" customHeight="1">
      <x:c r="A6" s="24" t="s">
        <x:v>6</x:v>
      </x:c>
      <x:c r="B6" s="24"/>
      <x:c r="C6" s="24"/>
      <x:c r="D6" s="24"/>
      <x:c r="E6" s="24"/>
      <x:c r="F6" s="24"/>
      <x:c r="G6" s="24"/>
      <x:c r="H6" s="24"/>
    </x:row>
    <x:row r="7" ht="42" customHeight="1">
      <x:c r="A7" s="4" t="s">
        <x:v>7</x:v>
      </x:c>
      <x:c r="B7" s="4" t="s">
        <x:v>8</x:v>
      </x:c>
      <x:c r="C7" s="4" t="s">
        <x:v>9</x:v>
      </x:c>
      <x:c r="D7" s="4" t="s">
        <x:v>10</x:v>
      </x:c>
      <x:c r="E7" s="4" t="s">
        <x:v>11</x:v>
      </x:c>
      <x:c r="F7" s="4" t="s">
        <x:v>12</x:v>
      </x:c>
      <x:c r="G7" s="4" t="s">
        <x:v>13</x:v>
      </x:c>
      <x:c r="H7" s="4" t="s">
        <x:v>14</x:v>
      </x:c>
    </x:row>
    <x:row r="8" ht="48" customHeight="1">
      <x:c r="A8" s="5" t="s">
        <x:v>15</x:v>
      </x:c>
      <x:c r="B8" s="6" t="s">
        <x:v>16</x:v>
      </x:c>
      <x:c r="C8" s="6" t="s">
        <x:v>17</x:v>
      </x:c>
      <x:c r="D8" s="5" t="s">
        <x:v>18</x:v>
      </x:c>
      <x:c r="E8" s="6" t="s">
        <x:v>19</x:v>
      </x:c>
      <x:c r="F8" s="6" t="s">
        <x:v>20</x:v>
      </x:c>
      <x:c r="G8" s="6" t="s">
        <x:v>21</x:v>
      </x:c>
      <x:c r="H8" s="5" t="s">
        <x:v>22</x:v>
      </x:c>
    </x:row>
    <x:row r="9">
      <x:c r="A9" s="7" t="s">
        <x:v>23</x:v>
      </x:c>
      <x:c r="B9" s="15">
        <x:v>46216.345138888886</x:v>
      </x:c>
      <x:c r="C9" s="16" t="n">
        <x:f t="shared" ref="C9:C42" si="0">D9-B9</x:f>
        <x:v>0.011111111110949423</x:v>
      </x:c>
      <x:c r="D9" s="15">
        <x:v>46216.356249999997</x:v>
      </x:c>
      <x:c r="E9" s="17" t="str">
        <x:f t="shared" ref="E9:E41" si="1">IF(F9="Sim",B10-B9,"")</x:f>
      </x:c>
      <x:c r="F9" s="11" t="str">
        <x:f t="shared" ref="F9:F41" si="2">IF(D9&gt;B10,"Sim","Não")</x:f>
        <x:v>Não</x:v>
      </x:c>
      <x:c r="G9" s="18" t="str">
        <x:f t="shared" ref="G9:G41" si="3">IF(F9="Sim","Término posterior ao início do atendimento seguinte","")</x:f>
      </x:c>
      <x:c r="H9" s="16" t="n">
        <x:f t="shared" ref="H9:H41" si="4">IF(B10&gt;D9,B10-D9,0)</x:f>
        <x:v>0</x:v>
      </x:c>
    </x:row>
    <x:row r="10">
      <x:c r="A10" s="7" t="s">
        <x:v>24</x:v>
      </x:c>
      <x:c r="B10" s="8">
        <x:v>46216.356249999997</x:v>
      </x:c>
      <x:c r="C10" s="9">
        <x:f t="shared" si="0"/>
        <x:v>1.2500000004365575E-2</x:v>
      </x:c>
      <x:c r="D10" s="8">
        <x:v>46216.368750000001</x:v>
      </x:c>
      <x:c r="E10" s="13" t="str">
        <x:f t="shared" si="1"/>
      </x:c>
      <x:c r="F10" s="10" t="str">
        <x:f t="shared" si="2"/>
        <x:v>Não</x:v>
      </x:c>
      <x:c r="G10" s="12" t="str">
        <x:f t="shared" si="3"/>
      </x:c>
      <x:c r="H10" s="16">
        <x:f t="shared" si="4"/>
        <x:v>0</x:v>
      </x:c>
    </x:row>
    <x:row r="11">
      <x:c r="A11" s="7" t="s">
        <x:v>25</x:v>
      </x:c>
      <x:c r="B11" s="8">
        <x:v>46216.368750000001</x:v>
      </x:c>
      <x:c r="C11" s="9">
        <x:f t="shared" si="0"/>
        <x:v>1.2499999997089617E-2</x:v>
      </x:c>
      <x:c r="D11" s="8">
        <x:v>46216.381249999999</x:v>
      </x:c>
      <x:c r="E11" s="13" t="str">
        <x:f t="shared" si="1"/>
      </x:c>
      <x:c r="F11" s="10" t="str">
        <x:f t="shared" si="2"/>
        <x:v>Não</x:v>
      </x:c>
      <x:c r="G11" s="12" t="str">
        <x:f t="shared" si="3"/>
      </x:c>
      <x:c r="H11" s="16">
        <x:f t="shared" si="4"/>
        <x:v>1.3888888934161514E-3</x:v>
      </x:c>
    </x:row>
    <x:row r="12">
      <x:c r="A12" s="7" t="s">
        <x:v>26</x:v>
      </x:c>
      <x:c r="B12" s="8">
        <x:v>46216.382638888892</x:v>
      </x:c>
      <x:c r="C12" s="9">
        <x:f t="shared" si="0"/>
        <x:v>5.5555555518367328E-3</x:v>
      </x:c>
      <x:c r="D12" s="8">
        <x:v>46216.388194444444</x:v>
      </x:c>
      <x:c r="E12" s="13" t="str">
        <x:f t="shared" si="1"/>
      </x:c>
      <x:c r="F12" s="10" t="str">
        <x:f t="shared" si="2"/>
        <x:v>Não</x:v>
      </x:c>
      <x:c r="G12" s="12" t="str">
        <x:f t="shared" si="3"/>
      </x:c>
      <x:c r="H12" s="16">
        <x:f t="shared" si="4"/>
        <x:v>1.3888888861401938E-3</x:v>
      </x:c>
    </x:row>
    <x:row r="13">
      <x:c r="A13" s="7" t="s">
        <x:v>27</x:v>
      </x:c>
      <x:c r="B13" s="8">
        <x:v>46216.38958333333</x:v>
      </x:c>
      <x:c r="C13" s="9">
        <x:f t="shared" si="0"/>
        <x:v>6.9444444452528842E-3</x:v>
      </x:c>
      <x:c r="D13" s="8">
        <x:v>46216.396527777775</x:v>
      </x:c>
      <x:c r="E13" s="13" t="str">
        <x:f t="shared" si="1"/>
      </x:c>
      <x:c r="F13" s="10" t="str">
        <x:f t="shared" si="2"/>
        <x:v>Não</x:v>
      </x:c>
      <x:c r="G13" s="12" t="str">
        <x:f t="shared" si="3"/>
      </x:c>
      <x:c r="H13" s="16">
        <x:f t="shared" si="4"/>
        <x:v>4.8611111124046147E-3</x:v>
      </x:c>
    </x:row>
    <x:row r="14">
      <x:c r="A14" s="7" t="s">
        <x:v>28</x:v>
      </x:c>
      <x:c r="B14" s="8">
        <x:v>46216.401388888888</x:v>
      </x:c>
      <x:c r="C14" s="9">
        <x:f t="shared" si="0"/>
        <x:v>1.2500000004365575E-2</x:v>
      </x:c>
      <x:c r="D14" s="8">
        <x:v>46216.413888888892</x:v>
      </x:c>
      <x:c r="E14" s="13" t="str">
        <x:f t="shared" si="1"/>
      </x:c>
      <x:c r="F14" s="10" t="str">
        <x:f t="shared" si="2"/>
        <x:v>Não</x:v>
      </x:c>
      <x:c r="G14" s="12" t="str">
        <x:f t="shared" si="3"/>
      </x:c>
      <x:c r="H14" s="16">
        <x:f t="shared" si="4"/>
        <x:v>6.9444443943211809E-4</x:v>
      </x:c>
    </x:row>
    <x:row r="15">
      <x:c r="A15" s="7" t="s">
        <x:v>29</x:v>
      </x:c>
      <x:c r="B15" s="8">
        <x:v>46216.414583333331</x:v>
      </x:c>
      <x:c r="C15" s="9">
        <x:f t="shared" si="0"/>
        <x:v>8.3333333386690356E-3</x:v>
      </x:c>
      <x:c r="D15" s="8">
        <x:v>46216.42291666667</x:v>
      </x:c>
      <x:c r="E15" s="13" t="str">
        <x:f t="shared" si="1"/>
      </x:c>
      <x:c r="F15" s="10" t="str">
        <x:f t="shared" si="2"/>
        <x:v>Não</x:v>
      </x:c>
      <x:c r="G15" s="12" t="str">
        <x:f t="shared" si="3"/>
      </x:c>
      <x:c r="H15" s="16">
        <x:f t="shared" si="4"/>
        <x:v>0</x:v>
      </x:c>
    </x:row>
    <x:row r="16">
      <x:c r="A16" s="7" t="s">
        <x:v>30</x:v>
      </x:c>
      <x:c r="B16" s="8">
        <x:v>46216.42291666667</x:v>
      </x:c>
      <x:c r="C16" s="9">
        <x:f t="shared" si="0"/>
        <x:v>7.6388888846850023E-3</x:v>
      </x:c>
      <x:c r="D16" s="8">
        <x:v>46216.430555555555</x:v>
      </x:c>
      <x:c r="E16" s="13" t="str">
        <x:f t="shared" si="1"/>
      </x:c>
      <x:c r="F16" s="10" t="str">
        <x:f t="shared" si="2"/>
        <x:v>Não</x:v>
      </x:c>
      <x:c r="G16" s="12" t="str">
        <x:f t="shared" si="3"/>
      </x:c>
      <x:c r="H16" s="16">
        <x:f t="shared" si="4"/>
        <x:v>1.3888888861401938E-3</x:v>
      </x:c>
    </x:row>
    <x:row r="17">
      <x:c r="A17" s="7" t="s">
        <x:v>31</x:v>
      </x:c>
      <x:c r="B17" s="8">
        <x:v>46216.431944444441</x:v>
      </x:c>
      <x:c r="C17" s="9">
        <x:f t="shared" si="0"/>
        <x:v>1.1805555557657499E-2</x:v>
      </x:c>
      <x:c r="D17" s="8">
        <x:v>46216.443749999999</x:v>
      </x:c>
      <x:c r="E17" s="13" t="str">
        <x:f t="shared" si="1"/>
      </x:c>
      <x:c r="F17" s="10" t="str">
        <x:f t="shared" si="2"/>
        <x:v>Não</x:v>
      </x:c>
      <x:c r="G17" s="12" t="str">
        <x:f t="shared" si="3"/>
      </x:c>
      <x:c r="H17" s="16">
        <x:f t="shared" si="4"/>
        <x:v>0</x:v>
      </x:c>
    </x:row>
    <x:row r="18">
      <x:c r="A18" s="7" t="s">
        <x:v>32</x:v>
      </x:c>
      <x:c r="B18" s="8">
        <x:v>46216.443749999999</x:v>
      </x:c>
      <x:c r="C18" s="9">
        <x:f t="shared" si="0"/>
        <x:v>1.8055555556202307E-2</x:v>
      </x:c>
      <x:c r="D18" s="8">
        <x:v>46216.461805555555</x:v>
      </x:c>
      <x:c r="E18" s="13" t="str">
        <x:f t="shared" si="1"/>
      </x:c>
      <x:c r="F18" s="10" t="str">
        <x:f t="shared" si="2"/>
        <x:v>Não</x:v>
      </x:c>
      <x:c r="G18" s="12" t="str">
        <x:f t="shared" si="3"/>
      </x:c>
      <x:c r="H18" s="16">
        <x:f t="shared" si="4"/>
        <x:v>0</x:v>
      </x:c>
    </x:row>
    <x:row r="19">
      <x:c r="A19" s="7" t="s">
        <x:v>33</x:v>
      </x:c>
      <x:c r="B19" s="8">
        <x:v>46216.461805555555</x:v>
      </x:c>
      <x:c r="C19" s="9">
        <x:f t="shared" si="0"/>
        <x:v>6.9444444452528842E-3</x:v>
      </x:c>
      <x:c r="D19" s="8">
        <x:v>46216.46875</x:v>
      </x:c>
      <x:c r="E19" s="13" t="str">
        <x:f t="shared" si="1"/>
      </x:c>
      <x:c r="F19" s="10" t="str">
        <x:f t="shared" si="2"/>
        <x:v>Não</x:v>
      </x:c>
      <x:c r="G19" s="12" t="str">
        <x:f t="shared" si="3"/>
      </x:c>
      <x:c r="H19" s="16">
        <x:f t="shared" si="4"/>
        <x:v>6.944444467080757E-4</x:v>
      </x:c>
    </x:row>
    <x:row r="20">
      <x:c r="A20" s="7" t="s">
        <x:v>34</x:v>
      </x:c>
      <x:c r="B20" s="8">
        <x:v>46216.469444444447</x:v>
      </x:c>
      <x:c r="C20" s="9">
        <x:f t="shared" si="0"/>
        <x:v>9.0277777781011537E-3</x:v>
      </x:c>
      <x:c r="D20" s="8">
        <x:v>46216.478472222225</x:v>
      </x:c>
      <x:c r="E20" s="13" t="str">
        <x:f t="shared" si="1"/>
      </x:c>
      <x:c r="F20" s="10" t="str">
        <x:f t="shared" si="2"/>
        <x:v>Não</x:v>
      </x:c>
      <x:c r="G20" s="12" t="str">
        <x:f t="shared" si="3"/>
      </x:c>
      <x:c r="H20" s="16">
        <x:f t="shared" si="4"/>
        <x:v>1.3888888861401938E-3</x:v>
      </x:c>
    </x:row>
    <x:row r="21">
      <x:c r="A21" s="7" t="s">
        <x:v>35</x:v>
      </x:c>
      <x:c r="B21" s="8">
        <x:v>46216.479861111111</x:v>
      </x:c>
      <x:c r="C21" s="9">
        <x:f t="shared" si="0"/>
        <x:v>4.166666665696539E-3</x:v>
      </x:c>
      <x:c r="D21" s="8">
        <x:v>46216.484027777777</x:v>
      </x:c>
      <x:c r="E21" s="13" t="str">
        <x:f t="shared" si="1"/>
      </x:c>
      <x:c r="F21" s="10" t="str">
        <x:f t="shared" si="2"/>
        <x:v>Não</x:v>
      </x:c>
      <x:c r="G21" s="12" t="str">
        <x:f t="shared" si="3"/>
      </x:c>
      <x:c r="H21" s="16">
        <x:f t="shared" si="4"/>
        <x:v>6.944444467080757E-4</x:v>
      </x:c>
    </x:row>
    <x:row r="22">
      <x:c r="A22" s="7" t="s">
        <x:v>36</x:v>
      </x:c>
      <x:c r="B22" s="8">
        <x:v>46216.484722222223</x:v>
      </x:c>
      <x:c r="C22" s="9">
        <x:f t="shared" si="0"/>
        <x:v>4.166666665696539E-3</x:v>
      </x:c>
      <x:c r="D22" s="8">
        <x:v>46216.488888888889</x:v>
      </x:c>
      <x:c r="E22" s="13" t="str">
        <x:f t="shared" si="1"/>
      </x:c>
      <x:c r="F22" s="10" t="str">
        <x:f t="shared" si="2"/>
        <x:v>Não</x:v>
      </x:c>
      <x:c r="G22" s="12" t="str">
        <x:f t="shared" si="3"/>
      </x:c>
      <x:c r="H22" s="16">
        <x:f t="shared" si="4"/>
        <x:v>0</x:v>
      </x:c>
    </x:row>
    <x:row r="23">
      <x:c r="A23" s="7" t="s">
        <x:v>37</x:v>
      </x:c>
      <x:c r="B23" s="8">
        <x:v>46216.488888888889</x:v>
      </x:c>
      <x:c r="C23" s="9">
        <x:f t="shared" si="0"/>
        <x:v>9.0277777781011537E-3</x:v>
      </x:c>
      <x:c r="D23" s="8">
        <x:v>46216.497916666667</x:v>
      </x:c>
      <x:c r="E23" s="13" t="str">
        <x:f t="shared" si="1"/>
      </x:c>
      <x:c r="F23" s="10" t="str">
        <x:f t="shared" si="2"/>
        <x:v>Não</x:v>
      </x:c>
      <x:c r="G23" s="12" t="str">
        <x:f t="shared" si="3"/>
      </x:c>
      <x:c r="H23" s="16">
        <x:f t="shared" si="4"/>
        <x:v>0</x:v>
      </x:c>
    </x:row>
    <x:row r="24">
      <x:c r="A24" s="7" t="s">
        <x:v>38</x:v>
      </x:c>
      <x:c r="B24" s="8">
        <x:v>46216.497916666667</x:v>
      </x:c>
      <x:c r="C24" s="9">
        <x:f t="shared" si="0"/>
        <x:v>9.7222222248092294E-3</x:v>
      </x:c>
      <x:c r="D24" s="8">
        <x:v>46216.507638888892</x:v>
      </x:c>
      <x:c r="E24" s="13" t="str">
        <x:f t="shared" si="1"/>
      </x:c>
      <x:c r="F24" s="10" t="str">
        <x:f t="shared" si="2"/>
        <x:v>Não</x:v>
      </x:c>
      <x:c r="G24" s="12" t="str">
        <x:f t="shared" si="3"/>
      </x:c>
      <x:c r="H24" s="16">
        <x:f t="shared" si="4"/>
        <x:v>6.9444443943211809E-4</x:v>
      </x:c>
    </x:row>
    <x:row r="25">
      <x:c r="A25" s="7" t="s">
        <x:v>39</x:v>
      </x:c>
      <x:c r="B25" s="8">
        <x:v>46216.508333333331</x:v>
      </x:c>
      <x:c r="C25" s="9">
        <x:f t="shared" si="0"/>
        <x:v>5.5555555591126904E-3</x:v>
      </x:c>
      <x:c r="D25" s="8">
        <x:v>46216.513888888891</x:v>
      </x:c>
      <x:c r="E25" s="13" t="str">
        <x:f t="shared" si="1"/>
      </x:c>
      <x:c r="F25" s="10" t="str">
        <x:f t="shared" si="2"/>
        <x:v>Não</x:v>
      </x:c>
      <x:c r="G25" s="12" t="str">
        <x:f t="shared" si="3"/>
      </x:c>
      <x:c r="H25" s="16">
        <x:f t="shared" si="4"/>
        <x:v>0</x:v>
      </x:c>
    </x:row>
    <x:row r="26">
      <x:c r="A26" s="7" t="s">
        <x:v>40</x:v>
      </x:c>
      <x:c r="B26" s="8">
        <x:v>46216.513888888891</x:v>
      </x:c>
      <x:c r="C26" s="9">
        <x:f t="shared" si="0"/>
        <x:v>1.2499999997089617E-2</x:v>
      </x:c>
      <x:c r="D26" s="8">
        <x:v>46216.526388888888</x:v>
      </x:c>
      <x:c r="E26" s="13" t="str">
        <x:f t="shared" si="1"/>
      </x:c>
      <x:c r="F26" s="10" t="str">
        <x:f t="shared" si="2"/>
        <x:v>Não</x:v>
      </x:c>
      <x:c r="G26" s="12" t="str">
        <x:f t="shared" si="3"/>
      </x:c>
      <x:c r="H26" s="16">
        <x:f t="shared" si="4"/>
        <x:v>0</x:v>
      </x:c>
    </x:row>
    <x:row r="27">
      <x:c r="A27" s="7" t="s">
        <x:v>41</x:v>
      </x:c>
      <x:c r="B27" s="8">
        <x:v>46216.526388888888</x:v>
      </x:c>
      <x:c r="C27" s="9">
        <x:f t="shared" si="0"/>
        <x:v>8.333333331393078E-3</x:v>
      </x:c>
      <x:c r="D27" s="8">
        <x:v>46216.534722222219</x:v>
      </x:c>
      <x:c r="E27" s="13" t="str">
        <x:f t="shared" si="1"/>
      </x:c>
      <x:c r="F27" s="10" t="str">
        <x:f t="shared" si="2"/>
        <x:v>Não</x:v>
      </x:c>
      <x:c r="G27" s="12" t="str">
        <x:f t="shared" si="3"/>
      </x:c>
      <x:c r="H27" s="16">
        <x:f t="shared" si="4"/>
        <x:v>1.3888888934161514E-3</x:v>
      </x:c>
    </x:row>
    <x:row r="28">
      <x:c r="A28" s="7" t="s">
        <x:v>42</x:v>
      </x:c>
      <x:c r="B28" s="8">
        <x:v>46216.536111111112</x:v>
      </x:c>
      <x:c r="C28" s="9">
        <x:f t="shared" si="0"/>
        <x:v>2.7777777795563452E-3</x:v>
      </x:c>
      <x:c r="D28" s="8">
        <x:v>46216.538888888892</x:v>
      </x:c>
      <x:c r="E28" s="13" t="str">
        <x:f t="shared" si="1"/>
      </x:c>
      <x:c r="F28" s="10" t="str">
        <x:f t="shared" si="2"/>
        <x:v>Não</x:v>
      </x:c>
      <x:c r="G28" s="12" t="str">
        <x:f t="shared" si="3"/>
      </x:c>
      <x:c r="H28" s="16">
        <x:f t="shared" si="4"/>
        <x:v>3.9583333331393078E-2</x:v>
      </x:c>
    </x:row>
    <x:row r="29">
      <x:c r="A29" s="7" t="s">
        <x:v>43</x:v>
      </x:c>
      <x:c r="B29" s="8">
        <x:v>46216.578472222223</x:v>
      </x:c>
      <x:c r="C29" s="9">
        <x:f t="shared" si="0"/>
        <x:v>1.2499999997089617E-2</x:v>
      </x:c>
      <x:c r="D29" s="8">
        <x:v>46216.59097222222</x:v>
      </x:c>
      <x:c r="E29" s="13" t="str">
        <x:f t="shared" si="1"/>
      </x:c>
      <x:c r="F29" s="10" t="str">
        <x:f t="shared" si="2"/>
        <x:v>Não</x:v>
      </x:c>
      <x:c r="G29" s="12" t="str">
        <x:f t="shared" si="3"/>
      </x:c>
      <x:c r="H29" s="16">
        <x:f t="shared" si="4"/>
        <x:v>6.944444467080757E-4</x:v>
      </x:c>
    </x:row>
    <x:row r="30">
      <x:c r="A30" s="7" t="s">
        <x:v>44</x:v>
      </x:c>
      <x:c r="B30" s="8">
        <x:v>46216.591666666667</x:v>
      </x:c>
      <x:c r="C30" s="9">
        <x:f t="shared" si="0"/>
        <x:v>9.0277777781011537E-3</x:v>
      </x:c>
      <x:c r="D30" s="8">
        <x:v>46216.600694444445</x:v>
      </x:c>
      <x:c r="E30" s="13" t="str">
        <x:f t="shared" si="1"/>
      </x:c>
      <x:c r="F30" s="10" t="str">
        <x:f t="shared" si="2"/>
        <x:v>Não</x:v>
      </x:c>
      <x:c r="G30" s="12" t="str">
        <x:f t="shared" si="3"/>
      </x:c>
      <x:c r="H30" s="16">
        <x:f t="shared" si="4"/>
        <x:v>6.944444467080757E-4</x:v>
      </x:c>
    </x:row>
    <x:row r="31">
      <x:c r="A31" s="7" t="s">
        <x:v>45</x:v>
      </x:c>
      <x:c r="B31" s="8">
        <x:v>46216.601388888892</x:v>
      </x:c>
      <x:c r="C31" s="9">
        <x:f t="shared" si="0"/>
        <x:v>1.1805555550381541E-2</x:v>
      </x:c>
      <x:c r="D31" s="8">
        <x:v>46216.613194444442</x:v>
      </x:c>
      <x:c r="E31" s="13" t="str">
        <x:f t="shared" si="1"/>
      </x:c>
      <x:c r="F31" s="10" t="str">
        <x:f t="shared" si="2"/>
        <x:v>Não</x:v>
      </x:c>
      <x:c r="G31" s="12" t="str">
        <x:f t="shared" si="3"/>
      </x:c>
      <x:c r="H31" s="16">
        <x:f t="shared" si="4"/>
        <x:v>1.3888888934161514E-3</x:v>
      </x:c>
    </x:row>
    <x:row r="32">
      <x:c r="A32" s="7" t="s">
        <x:v>46</x:v>
      </x:c>
      <x:c r="B32" s="8">
        <x:v>46216.614583333336</x:v>
      </x:c>
      <x:c r="C32" s="9">
        <x:f t="shared" si="0"/>
        <x:v>9.0277777781011537E-3</x:v>
      </x:c>
      <x:c r="D32" s="8">
        <x:v>46216.623611111114</x:v>
      </x:c>
      <x:c r="E32" s="13" t="str">
        <x:f t="shared" si="1"/>
      </x:c>
      <x:c r="F32" s="10" t="str">
        <x:f t="shared" si="2"/>
        <x:v>Não</x:v>
      </x:c>
      <x:c r="G32" s="12" t="str">
        <x:f t="shared" si="3"/>
      </x:c>
      <x:c r="H32" s="16">
        <x:f t="shared" si="4"/>
        <x:v>0</x:v>
      </x:c>
    </x:row>
    <x:row r="33">
      <x:c r="A33" s="7" t="s">
        <x:v>47</x:v>
      </x:c>
      <x:c r="B33" s="8">
        <x:v>46216.623611111114</x:v>
      </x:c>
      <x:c r="C33" s="9">
        <x:f t="shared" si="0"/>
        <x:v>7.6388888846850023E-3</x:v>
      </x:c>
      <x:c r="D33" s="8">
        <x:v>46216.631249999999</x:v>
      </x:c>
      <x:c r="E33" s="13" t="str">
        <x:f t="shared" si="1"/>
      </x:c>
      <x:c r="F33" s="10" t="str">
        <x:f t="shared" si="2"/>
        <x:v>Não</x:v>
      </x:c>
      <x:c r="G33" s="12" t="str">
        <x:f t="shared" si="3"/>
      </x:c>
      <x:c r="H33" s="16">
        <x:f t="shared" si="4"/>
        <x:v>6.944444467080757E-4</x:v>
      </x:c>
    </x:row>
    <x:row r="34">
      <x:c r="A34" s="7" t="s">
        <x:v>48</x:v>
      </x:c>
      <x:c r="B34" s="8">
        <x:v>46216.631944444445</x:v>
      </x:c>
      <x:c r="C34" s="9">
        <x:f t="shared" si="0"/>
        <x:v>1.8055555556202307E-2</x:v>
      </x:c>
      <x:c r="D34" s="8">
        <x:v>46216.65</x:v>
      </x:c>
      <x:c r="E34" s="13" t="str">
        <x:f t="shared" si="1"/>
      </x:c>
      <x:c r="F34" s="10" t="str">
        <x:f t="shared" si="2"/>
        <x:v>Não</x:v>
      </x:c>
      <x:c r="G34" s="12" t="str">
        <x:f t="shared" si="3"/>
      </x:c>
      <x:c r="H34" s="16">
        <x:f t="shared" si="4"/>
        <x:v>1.3888888861401938E-3</x:v>
      </x:c>
    </x:row>
    <x:row r="35" ht="28.5">
      <x:c r="A35" s="7" t="s">
        <x:v>49</x:v>
      </x:c>
      <x:c r="B35" s="8">
        <x:v>46216.651388888888</x:v>
      </x:c>
      <x:c r="C35" s="9">
        <x:f t="shared" si="0"/>
        <x:v>1.4583333337213844E-2</x:v>
      </x:c>
      <x:c r="D35" s="8">
        <x:v>46216.665972222225</x:v>
      </x:c>
      <x:c r="E35" s="13">
        <x:f t="shared" si="1"/>
        <x:v>7.6388888919609599E-3</x:v>
      </x:c>
      <x:c r="F35" s="10" t="str">
        <x:f t="shared" si="2"/>
        <x:v>Sim</x:v>
      </x:c>
      <x:c r="G35" s="12" t="str">
        <x:f t="shared" si="3"/>
        <x:v>Término posterior ao início do atendimento seguinte</x:v>
      </x:c>
      <x:c r="H35" s="16">
        <x:f t="shared" si="4"/>
        <x:v>0</x:v>
      </x:c>
    </x:row>
    <x:row r="36">
      <x:c r="A36" s="7" t="s">
        <x:v>50</x:v>
      </x:c>
      <x:c r="B36" s="8">
        <x:v>46216.65902777778</x:v>
      </x:c>
      <x:c r="C36" s="9">
        <x:f t="shared" si="0"/>
        <x:v>4.8611111124046147E-3</x:v>
      </x:c>
      <x:c r="D36" s="8">
        <x:v>46216.663888888892</x:v>
      </x:c>
      <x:c r="E36" s="13" t="str">
        <x:f t="shared" si="1"/>
      </x:c>
      <x:c r="F36" s="10" t="str">
        <x:f t="shared" si="2"/>
        <x:v>Não</x:v>
      </x:c>
      <x:c r="G36" s="12" t="str">
        <x:f t="shared" si="3"/>
      </x:c>
      <x:c r="H36" s="16">
        <x:f t="shared" si="4"/>
        <x:v>2.7777777722803876E-3</x:v>
      </x:c>
    </x:row>
    <x:row r="37">
      <x:c r="A37" s="7" t="s">
        <x:v>51</x:v>
      </x:c>
      <x:c r="B37" s="8">
        <x:v>46216.666666666664</x:v>
      </x:c>
      <x:c r="C37" s="9">
        <x:f t="shared" si="0"/>
        <x:v>8.3333333386690356E-3</x:v>
      </x:c>
      <x:c r="D37" s="8">
        <x:v>46216.675000000003</x:v>
      </x:c>
      <x:c r="E37" s="13" t="str">
        <x:f t="shared" si="1"/>
      </x:c>
      <x:c r="F37" s="10" t="str">
        <x:f t="shared" si="2"/>
        <x:v>Não</x:v>
      </x:c>
      <x:c r="G37" s="12" t="str">
        <x:f t="shared" si="3"/>
      </x:c>
      <x:c r="H37" s="16">
        <x:f t="shared" si="4"/>
        <x:v>2.0833333328482695E-3</x:v>
      </x:c>
    </x:row>
    <x:row r="38">
      <x:c r="A38" s="7" t="s">
        <x:v>52</x:v>
      </x:c>
      <x:c r="B38" s="8">
        <x:v>46216.677083333336</x:v>
      </x:c>
      <x:c r="C38" s="9">
        <x:f t="shared" si="0"/>
        <x:v>1.1805555550381541E-2</x:v>
      </x:c>
      <x:c r="D38" s="8">
        <x:v>46216.688888888886</x:v>
      </x:c>
      <x:c r="E38" s="13" t="str">
        <x:f t="shared" si="1"/>
      </x:c>
      <x:c r="F38" s="10" t="str">
        <x:f t="shared" si="2"/>
        <x:v>Não</x:v>
      </x:c>
      <x:c r="G38" s="12" t="str">
        <x:f t="shared" si="3"/>
      </x:c>
      <x:c r="H38" s="16">
        <x:f t="shared" si="4"/>
        <x:v>1.3888888934161514E-3</x:v>
      </x:c>
    </x:row>
    <x:row r="39">
      <x:c r="A39" s="7" t="s">
        <x:v>53</x:v>
      </x:c>
      <x:c r="B39" s="8">
        <x:v>46216.69027777778</x:v>
      </x:c>
      <x:c r="C39" s="9">
        <x:f t="shared" si="0"/>
        <x:v>3.4722222189884633E-3</x:v>
      </x:c>
      <x:c r="D39" s="8">
        <x:v>46216.693749999999</x:v>
      </x:c>
      <x:c r="E39" s="13" t="str">
        <x:f t="shared" si="1"/>
      </x:c>
      <x:c r="F39" s="10" t="str">
        <x:f t="shared" si="2"/>
        <x:v>Não</x:v>
      </x:c>
      <x:c r="G39" s="12" t="str">
        <x:f t="shared" si="3"/>
      </x:c>
      <x:c r="H39" s="16">
        <x:f t="shared" si="4"/>
        <x:v>0</x:v>
      </x:c>
    </x:row>
    <x:row r="40">
      <x:c r="A40" s="7" t="s">
        <x:v>62</x:v>
      </x:c>
      <x:c r="B40" s="8">
        <x:v>46216.693749999999</x:v>
      </x:c>
      <x:c r="C40" s="9">
        <x:f t="shared" si="0"/>
        <x:v>8.333333331393078E-3</x:v>
      </x:c>
      <x:c r="D40" s="8">
        <x:v>46216.70208333333</x:v>
      </x:c>
      <x:c r="E40" s="13" t="str">
        <x:f t="shared" si="1"/>
      </x:c>
      <x:c r="F40" s="10" t="str">
        <x:f t="shared" si="2"/>
        <x:v>Não</x:v>
      </x:c>
      <x:c r="G40" s="12" t="str">
        <x:f t="shared" si="3"/>
      </x:c>
      <x:c r="H40" s="16">
        <x:f t="shared" si="4"/>
        <x:v>0</x:v>
      </x:c>
    </x:row>
    <x:row r="41">
      <x:c r="A41" s="7" t="s">
        <x:v>63</x:v>
      </x:c>
      <x:c r="B41" s="8">
        <x:v>46216.70208333333</x:v>
      </x:c>
      <x:c r="C41" s="9">
        <x:f t="shared" si="0"/>
        <x:v>7.6388888919609599E-3</x:v>
      </x:c>
      <x:c r="D41" s="8">
        <x:v>46216.709722222222</x:v>
      </x:c>
      <x:c r="E41" s="13" t="str">
        <x:f t="shared" si="1"/>
      </x:c>
      <x:c r="F41" s="10" t="str">
        <x:f t="shared" si="2"/>
        <x:v>Não</x:v>
      </x:c>
      <x:c r="G41" s="12" t="str">
        <x:f t="shared" si="3"/>
      </x:c>
      <x:c r="H41" s="16">
        <x:f t="shared" si="4"/>
        <x:v>1.3888888861401938E-3</x:v>
      </x:c>
    </x:row>
    <x:row r="42">
      <x:c r="A42" s="7" t="s">
        <x:v>64</x:v>
      </x:c>
      <x:c r="B42" s="15">
        <x:v>46216.711111111108</x:v>
      </x:c>
      <x:c r="C42" s="16">
        <x:f t="shared" si="0"/>
        <x:v>1.319444445107365E-2</x:v>
      </x:c>
      <x:c r="D42" s="15">
        <x:v>46216.724305555559</x:v>
      </x:c>
      <x:c r="E42" s="17"/>
      <x:c r="F42" s="11" t="s">
        <x:v>54</x:v>
      </x:c>
      <x:c r="G42" s="18"/>
      <x:c r="H42" s="11" t="s">
        <x:v>55</x:v>
      </x:c>
    </x:row>
  </x:sheetData>
  <x:mergeCells>
    <x:mergeCell ref="A1:H1"/>
    <x:mergeCell ref="B2:H2"/>
    <x:mergeCell ref="B3:H3"/>
    <x:mergeCell ref="B4:H4"/>
    <x:mergeCell ref="A6:H6"/>
  </x:mergeCells>
  <x:conditionalFormatting sqref="A9:H42">
    <x:cfRule type="expression" dxfId="1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ec4a969dd145a6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13" hidden="0" customWidth="1"/>
    <x:col min="2" max="2" width="27" hidden="0" customWidth="1"/>
    <x:col min="3" max="3" width="23" hidden="0" customWidth="1"/>
    <x:col min="4" max="4" width="15" hidden="0" customWidth="1"/>
    <x:col min="5" max="6" width="12" customWidth="1"/>
    <x:col min="7" max="7" width="21" hidden="0" customWidth="1"/>
    <x:col min="8" max="8" width="20" hidden="0" customWidth="1"/>
    <x:col min="9" max="9" width="16" hidden="0" customWidth="1"/>
    <x:col min="10" max="10" width="42" hidden="0" customWidth="1"/>
    <x:col min="11" max="11" width="19" hidden="0" customWidth="1"/>
    <x:col min="12" max="12" width="28" hidden="0" customWidth="1"/>
    <x:col min="5" max="5" width="12" hidden="0" customWidth="1"/>
    <x:col min="6" max="6" width="12" hidden="0" customWidth="1"/>
    <x:col min="13" max="13" width="20" hidden="0" customWidth="1"/>
    <x:col min="14" max="14" width="15" hidden="0" customWidth="1"/>
  </x:cols>
  <x:sheetData>
    <x:row r="1" ht="19.5">
      <x:c r="A1" s="50" t="str">
        <x:v>BASE CONSOLIDADA DE ATENDIMENTOS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t="str"/>
      <x:c r="N1" t="str"/>
    </x:row>
    <x:row r="2" ht="42" customHeight="1">
      <x:c r="A2" s="92" t="str">
        <x:v>Data</x:v>
      </x:c>
      <x:c r="B2" s="92" t="str">
        <x:v>Médico</x:v>
      </x:c>
      <x:c r="C2" s="92" t="str">
        <x:v>Especialidade</x:v>
      </x:c>
      <x:c r="D2" s="92" t="str">
        <x:v>Nome fila</x:v>
      </x:c>
      <x:c r="E2" s="92" t="str">
        <x:v>Início</x:v>
      </x:c>
      <x:c r="F2" s="92" t="str">
        <x:v>Término</x:v>
      </x:c>
      <x:c r="G2" s="92" t="str">
        <x:v>Tempo pelo sistema</x:v>
      </x:c>
      <x:c r="H2" s="149" t="str">
        <x:v>Tempo real apurado</x:v>
      </x:c>
      <x:c r="I2" s="92" t="str">
        <x:v>Sobreposição</x:v>
      </x:c>
      <x:c r="J2" s="92" t="str">
        <x:v>Observação</x:v>
      </x:c>
      <x:c r="K2" s="92" t="str">
        <x:v>Intervalo seguinte</x:v>
      </x:c>
      <x:c r="L2" s="92" t="str">
        <x:v>Origem</x:v>
      </x:c>
      <x:c r="M2" s="202" t="str">
        <x:v>Tempo considerado</x:v>
      </x:c>
      <x:c r="N2" s="276" t="str">
        <x:v>Espera (min)</x:v>
      </x:c>
    </x:row>
    <x:row r="3">
      <x:c r="A3" s="154" t="n">
        <x:v>46213</x:v>
      </x:c>
      <x:c r="B3" s="101" t="str">
        <x:v>Emanuel Decnop Mar</x:v>
      </x:c>
      <x:c r="C3" s="101" t="str">
        <x:v>Obstetrícia / Pré-Natal</x:v>
      </x:c>
      <x:c r="D3" s="101" t="str">
        <x:v>Paciente 1</x:v>
      </x:c>
      <x:c r="E3" s="99" t="n">
        <x:v>46213.347916666666</x:v>
      </x:c>
      <x:c r="F3" s="99" t="n">
        <x:v>46213.395833333336</x:v>
      </x:c>
      <x:c r="G3" s="100" t="n">
        <x:v>0.04791666666666667</x:v>
      </x:c>
      <x:c r="H3" s="155" t="n">
        <x:v>0.015277777777777777</x:v>
      </x:c>
      <x:c r="I3" s="101" t="str">
        <x:v>Sim</x:v>
      </x:c>
      <x:c r="J3" s="144" t="str">
        <x:v>Término posterior ao início do atendimento seguinte</x:v>
      </x:c>
      <x:c r="K3" s="100" t="n">
        <x:v>0</x:v>
      </x:c>
      <x:c r="L3" s="156" t="str">
        <x:v>Emanuel_Obstetra_10-07</x:v>
      </x:c>
      <x:c r="M3" s="203" t="n">
        <x:v>0.015277777777777777</x:v>
      </x:c>
      <x:c r="N3" s="277" t="n">
        <x:v>13</x:v>
      </x:c>
    </x:row>
    <x:row r="4" ht="28.5">
      <x:c r="A4" s="157" t="n">
        <x:v>46213</x:v>
      </x:c>
      <x:c r="B4" s="104" t="str">
        <x:v>Emanuel Decnop Mar</x:v>
      </x:c>
      <x:c r="C4" s="104" t="str">
        <x:v>Obstetrícia / Pré-Natal</x:v>
      </x:c>
      <x:c r="D4" s="104" t="str">
        <x:v>Paciente 2</x:v>
      </x:c>
      <x:c r="E4" s="46" t="n">
        <x:v>46213.36319444444</x:v>
      </x:c>
      <x:c r="F4" s="46" t="n">
        <x:v>46213.37291666667</x:v>
      </x:c>
      <x:c r="G4" s="47" t="n">
        <x:v>0.009722222222222222</x:v>
      </x:c>
      <x:c r="H4" s="152"/>
      <x:c r="I4" s="104" t="str">
        <x:v>Não</x:v>
      </x:c>
      <x:c r="J4" s="145" t="str"/>
      <x:c r="K4" s="47" t="n">
        <x:v>0.001388888888888889</x:v>
      </x:c>
      <x:c r="L4" s="158" t="str">
        <x:v>Emanuel_Obstetra_10-07</x:v>
      </x:c>
      <x:c r="M4" s="47" t="n">
        <x:v>0.009722222222222222</x:v>
      </x:c>
      <x:c r="N4" s="278" t="n">
        <x:v>39</x:v>
      </x:c>
    </x:row>
    <x:row r="5" ht="28.5">
      <x:c r="A5" s="157" t="n">
        <x:v>46213</x:v>
      </x:c>
      <x:c r="B5" s="104" t="str">
        <x:v>Emanuel Decnop Mar</x:v>
      </x:c>
      <x:c r="C5" s="104" t="str">
        <x:v>Obstetrícia / Pré-Natal</x:v>
      </x:c>
      <x:c r="D5" s="104" t="str">
        <x:v>Paciente 3</x:v>
      </x:c>
      <x:c r="E5" s="46" t="n">
        <x:v>46213.37430555555</x:v>
      </x:c>
      <x:c r="F5" s="46" t="n">
        <x:v>46213.52916666667</x:v>
      </x:c>
      <x:c r="G5" s="47" t="n">
        <x:v>0.15486111111111112</x:v>
      </x:c>
      <x:c r="H5" s="152" t="n">
        <x:v>0.022222222222222223</x:v>
      </x:c>
      <x:c r="I5" s="104" t="str">
        <x:v>Sim</x:v>
      </x:c>
      <x:c r="J5" s="145" t="str">
        <x:v>Término posterior ao início do atendimento seguinte</x:v>
      </x:c>
      <x:c r="K5" s="47" t="n">
        <x:v>0</x:v>
      </x:c>
      <x:c r="L5" s="158" t="str">
        <x:v>Emanuel_Obstetra_10-07</x:v>
      </x:c>
      <x:c r="M5" s="47" t="n">
        <x:v>0.022222222222222223</x:v>
      </x:c>
      <x:c r="N5" s="278" t="n">
        <x:v>54</x:v>
      </x:c>
    </x:row>
    <x:row r="6">
      <x:c r="A6" s="157" t="n">
        <x:v>46213</x:v>
      </x:c>
      <x:c r="B6" s="104" t="str">
        <x:v>Emanuel Decnop Mar</x:v>
      </x:c>
      <x:c r="C6" s="104" t="str">
        <x:v>Obstetrícia / Pré-Natal</x:v>
      </x:c>
      <x:c r="D6" s="104" t="str">
        <x:v>Paciente 4</x:v>
      </x:c>
      <x:c r="E6" s="46" t="n">
        <x:v>46213.396527777775</x:v>
      </x:c>
      <x:c r="F6" s="46" t="n">
        <x:v>46213.67013888889</x:v>
      </x:c>
      <x:c r="G6" s="47" t="n">
        <x:v>0.27361111111111114</x:v>
      </x:c>
      <x:c r="H6" s="152" t="n">
        <x:v>0.022916666666666665</x:v>
      </x:c>
      <x:c r="I6" s="104" t="str">
        <x:v>Sim</x:v>
      </x:c>
      <x:c r="J6" s="145" t="str">
        <x:v>Término posterior ao início do atendimento seguinte</x:v>
      </x:c>
      <x:c r="K6" s="47" t="n">
        <x:v>0</x:v>
      </x:c>
      <x:c r="L6" s="158" t="str">
        <x:v>Emanuel_Obstetra_10-07</x:v>
      </x:c>
      <x:c r="M6" s="47" t="n">
        <x:v>0.022916666666666665</x:v>
      </x:c>
      <x:c r="N6" s="278" t="n">
        <x:v>52</x:v>
      </x:c>
    </x:row>
    <x:row r="7">
      <x:c r="A7" s="157" t="n">
        <x:v>46213</x:v>
      </x:c>
      <x:c r="B7" s="104" t="str">
        <x:v>Emanuel Decnop Mar</x:v>
      </x:c>
      <x:c r="C7" s="104" t="str">
        <x:v>Obstetrícia / Pré-Natal</x:v>
      </x:c>
      <x:c r="D7" s="104" t="str">
        <x:v>Paciente 5</x:v>
      </x:c>
      <x:c r="E7" s="46" t="n">
        <x:v>46213.419444444444</x:v>
      </x:c>
      <x:c r="F7" s="46" t="n">
        <x:v>46213.529861111114</x:v>
      </x:c>
      <x:c r="G7" s="47" t="n">
        <x:v>0.11041666666666666</x:v>
      </x:c>
      <x:c r="H7" s="152" t="n">
        <x:v>0.034722222222222224</x:v>
      </x:c>
      <x:c r="I7" s="104" t="str">
        <x:v>Sim</x:v>
      </x:c>
      <x:c r="J7" s="145" t="str">
        <x:v>Término posterior ao início do atendimento seguinte</x:v>
      </x:c>
      <x:c r="K7" s="47" t="n">
        <x:v>0</x:v>
      </x:c>
      <x:c r="L7" s="158" t="str">
        <x:v>Emanuel_Obstetra_10-07</x:v>
      </x:c>
      <x:c r="M7" s="47" t="n">
        <x:v>0.034722222222222224</x:v>
      </x:c>
      <x:c r="N7" s="278" t="n">
        <x:v>38</x:v>
      </x:c>
    </x:row>
    <x:row r="8">
      <x:c r="A8" s="157" t="n">
        <x:v>46213</x:v>
      </x:c>
      <x:c r="B8" s="104" t="str">
        <x:v>Emanuel Decnop Mar</x:v>
      </x:c>
      <x:c r="C8" s="104" t="str">
        <x:v>Obstetrícia / Pré-Natal</x:v>
      </x:c>
      <x:c r="D8" s="104" t="str">
        <x:v>Paciente 6</x:v>
      </x:c>
      <x:c r="E8" s="46" t="n">
        <x:v>46213.45416666667</x:v>
      </x:c>
      <x:c r="F8" s="46" t="n">
        <x:v>46213.47083333333</x:v>
      </x:c>
      <x:c r="G8" s="47" t="n">
        <x:v>0.016666666666666666</x:v>
      </x:c>
      <x:c r="H8" s="152"/>
      <x:c r="I8" s="104" t="str">
        <x:v>Não</x:v>
      </x:c>
      <x:c r="J8" s="145" t="str"/>
      <x:c r="K8" s="47" t="n">
        <x:v>0</x:v>
      </x:c>
      <x:c r="L8" s="158" t="str">
        <x:v>Emanuel_Obstetra_10-07</x:v>
      </x:c>
      <x:c r="M8" s="47" t="n">
        <x:v>0.016666666666666666</x:v>
      </x:c>
      <x:c r="N8" s="278" t="n">
        <x:v>37</x:v>
      </x:c>
    </x:row>
    <x:row r="9">
      <x:c r="A9" s="157" t="n">
        <x:v>46213</x:v>
      </x:c>
      <x:c r="B9" s="104" t="str">
        <x:v>Emanuel Decnop Mar</x:v>
      </x:c>
      <x:c r="C9" s="104" t="str">
        <x:v>Obstetrícia / Pré-Natal</x:v>
      </x:c>
      <x:c r="D9" s="104" t="str">
        <x:v>Paciente 7</x:v>
      </x:c>
      <x:c r="E9" s="46" t="n">
        <x:v>46213.47083333333</x:v>
      </x:c>
      <x:c r="F9" s="46" t="n">
        <x:v>46213.47986111111</x:v>
      </x:c>
      <x:c r="G9" s="47" t="n">
        <x:v>0.009027777777777777</x:v>
      </x:c>
      <x:c r="H9" s="152"/>
      <x:c r="I9" s="104" t="str">
        <x:v>Não</x:v>
      </x:c>
      <x:c r="J9" s="145" t="str"/>
      <x:c r="K9" s="47" t="n">
        <x:v>0.001388888888888889</x:v>
      </x:c>
      <x:c r="L9" s="158" t="str">
        <x:v>Emanuel_Obstetra_10-07</x:v>
      </x:c>
      <x:c r="M9" s="47" t="n">
        <x:v>0.009027777777777777</x:v>
      </x:c>
      <x:c r="N9" s="278" t="n">
        <x:v>8</x:v>
      </x:c>
    </x:row>
    <x:row r="10">
      <x:c r="A10" s="157" t="n">
        <x:v>46213</x:v>
      </x:c>
      <x:c r="B10" s="104" t="str">
        <x:v>Emanuel Decnop Mar</x:v>
      </x:c>
      <x:c r="C10" s="104" t="str">
        <x:v>Obstetrícia / Pré-Natal</x:v>
      </x:c>
      <x:c r="D10" s="104" t="str">
        <x:v>Paciente 8</x:v>
      </x:c>
      <x:c r="E10" s="46" t="n">
        <x:v>46213.48125</x:v>
      </x:c>
      <x:c r="F10" s="46" t="n">
        <x:v>46213.51875</x:v>
      </x:c>
      <x:c r="G10" s="47" t="n">
        <x:v>0.0375</x:v>
      </x:c>
      <x:c r="H10" s="152"/>
      <x:c r="I10" s="104" t="str">
        <x:v>Não</x:v>
      </x:c>
      <x:c r="J10" s="145" t="str"/>
      <x:c r="K10" s="47" t="n">
        <x:v>0.019444444444444445</x:v>
      </x:c>
      <x:c r="L10" s="158" t="str">
        <x:v>Emanuel_Obstetra_10-07</x:v>
      </x:c>
      <x:c r="M10" s="47" t="n">
        <x:v>0.0375</x:v>
      </x:c>
      <x:c r="N10" s="278" t="n">
        <x:v>16</x:v>
      </x:c>
    </x:row>
    <x:row r="11">
      <x:c r="A11" s="157" t="n">
        <x:v>46213</x:v>
      </x:c>
      <x:c r="B11" s="104" t="str">
        <x:v>Emanuel Decnop Mar</x:v>
      </x:c>
      <x:c r="C11" s="104" t="str">
        <x:v>Obstetrícia / Pré-Natal</x:v>
      </x:c>
      <x:c r="D11" s="104" t="str">
        <x:v>Paciente 9</x:v>
      </x:c>
      <x:c r="E11" s="46" t="n">
        <x:v>46213.538194444445</x:v>
      </x:c>
      <x:c r="F11" s="46" t="n">
        <x:v>46213.54861111111</x:v>
      </x:c>
      <x:c r="G11" s="47" t="n">
        <x:v>0.010416666666666666</x:v>
      </x:c>
      <x:c r="H11" s="152"/>
      <x:c r="I11" s="104" t="str">
        <x:v>Não</x:v>
      </x:c>
      <x:c r="J11" s="145" t="str"/>
      <x:c r="K11" s="47" t="n">
        <x:v>0.001388888888888889</x:v>
      </x:c>
      <x:c r="L11" s="158" t="str">
        <x:v>Emanuel_Obstetra_10-07</x:v>
      </x:c>
      <x:c r="M11" s="47" t="n">
        <x:v>0.010416666666666666</x:v>
      </x:c>
      <x:c r="N11" s="278" t="n">
        <x:v>291</x:v>
      </x:c>
    </x:row>
    <x:row r="12">
      <x:c r="A12" s="157" t="n">
        <x:v>46213</x:v>
      </x:c>
      <x:c r="B12" s="104" t="str">
        <x:v>Emanuel Decnop Mar</x:v>
      </x:c>
      <x:c r="C12" s="104" t="str">
        <x:v>Obstetrícia / Pré-Natal</x:v>
      </x:c>
      <x:c r="D12" s="104" t="str">
        <x:v>Paciente 10</x:v>
      </x:c>
      <x:c r="E12" s="46" t="n">
        <x:v>46213.55</x:v>
      </x:c>
      <x:c r="F12" s="46" t="n">
        <x:v>46213.56597222222</x:v>
      </x:c>
      <x:c r="G12" s="47" t="n">
        <x:v>0.01597222222222222</x:v>
      </x:c>
      <x:c r="H12" s="152"/>
      <x:c r="I12" s="104" t="str">
        <x:v>Não</x:v>
      </x:c>
      <x:c r="J12" s="145" t="str"/>
      <x:c r="K12" s="47" t="n">
        <x:v>0.022916666666666665</x:v>
      </x:c>
      <x:c r="L12" s="158" t="str">
        <x:v>Emanuel_Obstetra_10-07</x:v>
      </x:c>
      <x:c r="M12" s="47" t="n">
        <x:v>0.01597222222222222</x:v>
      </x:c>
      <x:c r="N12" s="278" t="n">
        <x:v>10</x:v>
      </x:c>
    </x:row>
    <x:row r="13">
      <x:c r="A13" s="157" t="n">
        <x:v>46213</x:v>
      </x:c>
      <x:c r="B13" s="104" t="str">
        <x:v>Emanuel Decnop Mar</x:v>
      </x:c>
      <x:c r="C13" s="104" t="str">
        <x:v>Obstetrícia / Pré-Natal</x:v>
      </x:c>
      <x:c r="D13" s="104" t="str">
        <x:v>Paciente 11</x:v>
      </x:c>
      <x:c r="E13" s="46" t="n">
        <x:v>46213.58888888889</x:v>
      </x:c>
      <x:c r="F13" s="46" t="n">
        <x:v>46213.60486111111</x:v>
      </x:c>
      <x:c r="G13" s="47" t="n">
        <x:v>0.01597222222222222</x:v>
      </x:c>
      <x:c r="H13" s="152"/>
      <x:c r="I13" s="104" t="str">
        <x:v>Não</x:v>
      </x:c>
      <x:c r="J13" s="145" t="str"/>
      <x:c r="K13" s="47" t="n">
        <x:v>0.04652777777777778</x:v>
      </x:c>
      <x:c r="L13" s="158" t="str">
        <x:v>Emanuel_Obstetra_10-07</x:v>
      </x:c>
      <x:c r="M13" s="47" t="n">
        <x:v>0.01597222222222222</x:v>
      </x:c>
      <x:c r="N13" s="278" t="n">
        <x:v>47</x:v>
      </x:c>
    </x:row>
    <x:row r="14">
      <x:c r="A14" s="157" t="n">
        <x:v>46213</x:v>
      </x:c>
      <x:c r="B14" s="104" t="str">
        <x:v>Emanuel Decnop Mar</x:v>
      </x:c>
      <x:c r="C14" s="104" t="str">
        <x:v>Obstetrícia / Pré-Natal</x:v>
      </x:c>
      <x:c r="D14" s="104" t="str">
        <x:v>Paciente 12</x:v>
      </x:c>
      <x:c r="E14" s="46" t="n">
        <x:v>46213.65138888889</x:v>
      </x:c>
      <x:c r="F14" s="46" t="n">
        <x:v>46213.66458333333</x:v>
      </x:c>
      <x:c r="G14" s="47" t="n">
        <x:v>0.013194444444444444</x:v>
      </x:c>
      <x:c r="H14" s="152"/>
      <x:c r="I14" s="104" t="str">
        <x:v>Não</x:v>
      </x:c>
      <x:c r="J14" s="145" t="str"/>
      <x:c r="K14" s="47" t="n">
        <x:v>0.03333333333333333</x:v>
      </x:c>
      <x:c r="L14" s="158" t="str">
        <x:v>Emanuel_Obstetra_10-07</x:v>
      </x:c>
      <x:c r="M14" s="47" t="n">
        <x:v>0.013194444444444444</x:v>
      </x:c>
      <x:c r="N14" s="278" t="n">
        <x:v>1</x:v>
      </x:c>
    </x:row>
    <x:row r="15">
      <x:c r="A15" s="157" t="n">
        <x:v>46213</x:v>
      </x:c>
      <x:c r="B15" s="104" t="str">
        <x:v>Emanuel Decnop Mar</x:v>
      </x:c>
      <x:c r="C15" s="104" t="str">
        <x:v>Obstetrícia / Pré-Natal</x:v>
      </x:c>
      <x:c r="D15" s="104" t="str">
        <x:v>Paciente 13</x:v>
      </x:c>
      <x:c r="E15" s="46" t="n">
        <x:v>46213.697916666664</x:v>
      </x:c>
      <x:c r="F15" s="46" t="n">
        <x:v>46213.7125</x:v>
      </x:c>
      <x:c r="G15" s="47" t="n">
        <x:v>0.014583333333333334</x:v>
      </x:c>
      <x:c r="H15" s="152"/>
      <x:c r="I15" s="104" t="str">
        <x:v>Não</x:v>
      </x:c>
      <x:c r="J15" s="145" t="str"/>
      <x:c r="K15" s="47"/>
      <x:c r="L15" s="158" t="str">
        <x:v>Emanuel_Obstetra_10-07</x:v>
      </x:c>
      <x:c r="M15" s="47" t="n">
        <x:v>0.014583333333333334</x:v>
      </x:c>
      <x:c r="N15" s="278" t="n">
        <x:v>203</x:v>
      </x:c>
    </x:row>
    <x:row r="16">
      <x:c r="A16" s="157" t="n">
        <x:v>46213</x:v>
      </x:c>
      <x:c r="B16" s="104" t="str">
        <x:v>Fernanda Ferreira D</x:v>
      </x:c>
      <x:c r="C16" s="104" t="str">
        <x:v>Ginecologia Clínica</x:v>
      </x:c>
      <x:c r="D16" s="104" t="str">
        <x:v>Paciente 1</x:v>
      </x:c>
      <x:c r="E16" s="46" t="n">
        <x:v>46213.37708333333</x:v>
      </x:c>
      <x:c r="F16" s="46" t="n">
        <x:v>46213.381944444445</x:v>
      </x:c>
      <x:c r="G16" s="47" t="n">
        <x:v>0.004861111111111111</x:v>
      </x:c>
      <x:c r="H16" s="152"/>
      <x:c r="I16" s="104" t="str">
        <x:v>Não</x:v>
      </x:c>
      <x:c r="J16" s="145" t="str"/>
      <x:c r="K16" s="47" t="n">
        <x:v>0.004166666666666667</x:v>
      </x:c>
      <x:c r="L16" s="158" t="str">
        <x:v>Fernanda_Gineco_10-07</x:v>
      </x:c>
      <x:c r="M16" s="47" t="n">
        <x:v>0.004861111111111111</x:v>
      </x:c>
      <x:c r="N16" s="278" t="n">
        <x:v>34</x:v>
      </x:c>
    </x:row>
    <x:row r="17">
      <x:c r="A17" s="157" t="n">
        <x:v>46213</x:v>
      </x:c>
      <x:c r="B17" s="104" t="str">
        <x:v>Fernanda Ferreira D</x:v>
      </x:c>
      <x:c r="C17" s="104" t="str">
        <x:v>Ginecologia Clínica</x:v>
      </x:c>
      <x:c r="D17" s="104" t="str">
        <x:v>Paciente 2</x:v>
      </x:c>
      <x:c r="E17" s="46" t="n">
        <x:v>46213.38611111111</x:v>
      </x:c>
      <x:c r="F17" s="46" t="n">
        <x:v>46213.39236111111</x:v>
      </x:c>
      <x:c r="G17" s="47" t="n">
        <x:v>0.00625</x:v>
      </x:c>
      <x:c r="H17" s="152"/>
      <x:c r="I17" s="104" t="str">
        <x:v>Não</x:v>
      </x:c>
      <x:c r="J17" s="145" t="str"/>
      <x:c r="K17" s="47" t="n">
        <x:v>0.004861111111111111</x:v>
      </x:c>
      <x:c r="L17" s="158" t="str">
        <x:v>Fernanda_Gineco_10-07</x:v>
      </x:c>
      <x:c r="M17" s="47" t="n">
        <x:v>0.00625</x:v>
      </x:c>
      <x:c r="N17" s="278" t="n">
        <x:v>44</x:v>
      </x:c>
    </x:row>
    <x:row r="18">
      <x:c r="A18" s="157" t="n">
        <x:v>46213</x:v>
      </x:c>
      <x:c r="B18" s="104" t="str">
        <x:v>Fernanda Ferreira D</x:v>
      </x:c>
      <x:c r="C18" s="104" t="str">
        <x:v>Ginecologia Clínica</x:v>
      </x:c>
      <x:c r="D18" s="104" t="str">
        <x:v>Paciente 3</x:v>
      </x:c>
      <x:c r="E18" s="46" t="n">
        <x:v>46213.39722222222</x:v>
      </x:c>
      <x:c r="F18" s="46" t="n">
        <x:v>46213.4</x:v>
      </x:c>
      <x:c r="G18" s="47" t="n">
        <x:v>0.002777777777777778</x:v>
      </x:c>
      <x:c r="H18" s="152"/>
      <x:c r="I18" s="104" t="str">
        <x:v>Não</x:v>
      </x:c>
      <x:c r="J18" s="145" t="str"/>
      <x:c r="K18" s="47" t="n">
        <x:v>0.004861111111111111</x:v>
      </x:c>
      <x:c r="L18" s="158" t="str">
        <x:v>Fernanda_Gineco_10-07</x:v>
      </x:c>
      <x:c r="M18" s="47" t="n">
        <x:v>0.002777777777777778</x:v>
      </x:c>
      <x:c r="N18" s="278" t="n">
        <x:v>88</x:v>
      </x:c>
    </x:row>
    <x:row r="19">
      <x:c r="A19" s="157" t="n">
        <x:v>46213</x:v>
      </x:c>
      <x:c r="B19" s="104" t="str">
        <x:v>Fernanda Ferreira D</x:v>
      </x:c>
      <x:c r="C19" s="104" t="str">
        <x:v>Ginecologia Clínica</x:v>
      </x:c>
      <x:c r="D19" s="104" t="str">
        <x:v>Paciente 4</x:v>
      </x:c>
      <x:c r="E19" s="46" t="n">
        <x:v>46213.404861111114</x:v>
      </x:c>
      <x:c r="F19" s="46" t="n">
        <x:v>46213.413194444445</x:v>
      </x:c>
      <x:c r="G19" s="47" t="n">
        <x:v>0.008333333333333333</x:v>
      </x:c>
      <x:c r="H19" s="152"/>
      <x:c r="I19" s="104" t="str">
        <x:v>Não</x:v>
      </x:c>
      <x:c r="J19" s="145" t="str"/>
      <x:c r="K19" s="47" t="n">
        <x:v>0</x:v>
      </x:c>
      <x:c r="L19" s="158" t="str">
        <x:v>Fernanda_Gineco_10-07</x:v>
      </x:c>
      <x:c r="M19" s="47" t="n">
        <x:v>0.008333333333333333</x:v>
      </x:c>
      <x:c r="N19" s="278" t="n">
        <x:v>72</x:v>
      </x:c>
    </x:row>
    <x:row r="20">
      <x:c r="A20" s="157" t="n">
        <x:v>46213</x:v>
      </x:c>
      <x:c r="B20" s="104" t="str">
        <x:v>Fernanda Ferreira D</x:v>
      </x:c>
      <x:c r="C20" s="104" t="str">
        <x:v>Ginecologia Clínica</x:v>
      </x:c>
      <x:c r="D20" s="104" t="str">
        <x:v>Paciente 5</x:v>
      </x:c>
      <x:c r="E20" s="46" t="n">
        <x:v>46213.413194444445</x:v>
      </x:c>
      <x:c r="F20" s="46" t="n">
        <x:v>46213.415972222225</x:v>
      </x:c>
      <x:c r="G20" s="47" t="n">
        <x:v>0.002777777777777778</x:v>
      </x:c>
      <x:c r="H20" s="152"/>
      <x:c r="I20" s="104" t="str">
        <x:v>Não</x:v>
      </x:c>
      <x:c r="J20" s="145" t="str"/>
      <x:c r="K20" s="47" t="n">
        <x:v>0.004166666666666667</x:v>
      </x:c>
      <x:c r="L20" s="158" t="str">
        <x:v>Fernanda_Gineco_10-07</x:v>
      </x:c>
      <x:c r="M20" s="47" t="n">
        <x:v>0.002777777777777778</x:v>
      </x:c>
      <x:c r="N20" s="278" t="n">
        <x:v>50</x:v>
      </x:c>
    </x:row>
    <x:row r="21">
      <x:c r="A21" s="157" t="n">
        <x:v>46213</x:v>
      </x:c>
      <x:c r="B21" s="104" t="str">
        <x:v>Fernanda Ferreira D</x:v>
      </x:c>
      <x:c r="C21" s="104" t="str">
        <x:v>Ginecologia Clínica</x:v>
      </x:c>
      <x:c r="D21" s="104" t="str">
        <x:v>Paciente 6</x:v>
      </x:c>
      <x:c r="E21" s="46" t="n">
        <x:v>46213.42013888889</x:v>
      </x:c>
      <x:c r="F21" s="46" t="n">
        <x:v>46213.42361111111</x:v>
      </x:c>
      <x:c r="G21" s="47" t="n">
        <x:v>0.003472222222222222</x:v>
      </x:c>
      <x:c r="H21" s="152"/>
      <x:c r="I21" s="104" t="str">
        <x:v>Não</x:v>
      </x:c>
      <x:c r="J21" s="145" t="str"/>
      <x:c r="K21" s="47" t="n">
        <x:v>0</x:v>
      </x:c>
      <x:c r="L21" s="158" t="str">
        <x:v>Fernanda_Gineco_10-07</x:v>
      </x:c>
      <x:c r="M21" s="47" t="n">
        <x:v>0.003472222222222222</x:v>
      </x:c>
      <x:c r="N21" s="278" t="n">
        <x:v>121</x:v>
      </x:c>
    </x:row>
    <x:row r="22">
      <x:c r="A22" s="157" t="n">
        <x:v>46213</x:v>
      </x:c>
      <x:c r="B22" s="104" t="str">
        <x:v>Fernanda Ferreira D</x:v>
      </x:c>
      <x:c r="C22" s="104" t="str">
        <x:v>Ginecologia Clínica</x:v>
      </x:c>
      <x:c r="D22" s="104" t="str">
        <x:v>Paciente 7</x:v>
      </x:c>
      <x:c r="E22" s="46" t="n">
        <x:v>46213.42361111111</x:v>
      </x:c>
      <x:c r="F22" s="46" t="n">
        <x:v>46213.427777777775</x:v>
      </x:c>
      <x:c r="G22" s="47" t="n">
        <x:v>0.004166666666666667</x:v>
      </x:c>
      <x:c r="H22" s="152"/>
      <x:c r="I22" s="104" t="str">
        <x:v>Não</x:v>
      </x:c>
      <x:c r="J22" s="145" t="str"/>
      <x:c r="K22" s="47" t="n">
        <x:v>0</x:v>
      </x:c>
      <x:c r="L22" s="158" t="str">
        <x:v>Fernanda_Gineco_10-07</x:v>
      </x:c>
      <x:c r="M22" s="47" t="n">
        <x:v>0.004166666666666667</x:v>
      </x:c>
      <x:c r="N22" s="278" t="n">
        <x:v>45</x:v>
      </x:c>
    </x:row>
    <x:row r="23">
      <x:c r="A23" s="157" t="n">
        <x:v>46213</x:v>
      </x:c>
      <x:c r="B23" s="104" t="str">
        <x:v>Fernanda Ferreira D</x:v>
      </x:c>
      <x:c r="C23" s="104" t="str">
        <x:v>Ginecologia Clínica</x:v>
      </x:c>
      <x:c r="D23" s="104" t="str">
        <x:v>Paciente 8</x:v>
      </x:c>
      <x:c r="E23" s="46" t="n">
        <x:v>46213.427777777775</x:v>
      </x:c>
      <x:c r="F23" s="46" t="n">
        <x:v>46213.43194444444</x:v>
      </x:c>
      <x:c r="G23" s="47" t="n">
        <x:v>0.004166666666666667</x:v>
      </x:c>
      <x:c r="H23" s="152"/>
      <x:c r="I23" s="104" t="str">
        <x:v>Não</x:v>
      </x:c>
      <x:c r="J23" s="145" t="str"/>
      <x:c r="K23" s="47" t="n">
        <x:v>0.007638888888888889</x:v>
      </x:c>
      <x:c r="L23" s="158" t="str">
        <x:v>Fernanda_Gineco_10-07</x:v>
      </x:c>
      <x:c r="M23" s="47" t="n">
        <x:v>0.004166666666666667</x:v>
      </x:c>
      <x:c r="N23" s="278" t="n">
        <x:v>132</x:v>
      </x:c>
    </x:row>
    <x:row r="24">
      <x:c r="A24" s="157" t="n">
        <x:v>46213</x:v>
      </x:c>
      <x:c r="B24" s="104" t="str">
        <x:v>Fernanda Ferreira D</x:v>
      </x:c>
      <x:c r="C24" s="104" t="str">
        <x:v>Ginecologia Clínica</x:v>
      </x:c>
      <x:c r="D24" s="104" t="str">
        <x:v>Paciente 9</x:v>
      </x:c>
      <x:c r="E24" s="46" t="n">
        <x:v>46213.43958333333</x:v>
      </x:c>
      <x:c r="F24" s="46" t="n">
        <x:v>46213.44583333333</x:v>
      </x:c>
      <x:c r="G24" s="47" t="n">
        <x:v>0.00625</x:v>
      </x:c>
      <x:c r="H24" s="152"/>
      <x:c r="I24" s="104" t="str">
        <x:v>Não</x:v>
      </x:c>
      <x:c r="J24" s="145" t="str"/>
      <x:c r="K24" s="47" t="n">
        <x:v>0.0006944444444444445</x:v>
      </x:c>
      <x:c r="L24" s="158" t="str">
        <x:v>Fernanda_Gineco_10-07</x:v>
      </x:c>
      <x:c r="M24" s="47" t="n">
        <x:v>0.00625</x:v>
      </x:c>
      <x:c r="N24" s="278" t="n">
        <x:v>14</x:v>
      </x:c>
    </x:row>
    <x:row r="25">
      <x:c r="A25" s="157" t="n">
        <x:v>46213</x:v>
      </x:c>
      <x:c r="B25" s="104" t="str">
        <x:v>Fernanda Ferreira D</x:v>
      </x:c>
      <x:c r="C25" s="104" t="str">
        <x:v>Ginecologia Clínica</x:v>
      </x:c>
      <x:c r="D25" s="104" t="str">
        <x:v>Paciente 10</x:v>
      </x:c>
      <x:c r="E25" s="46" t="n">
        <x:v>46213.44652777778</x:v>
      </x:c>
      <x:c r="F25" s="46" t="n">
        <x:v>46213.447916666664</x:v>
      </x:c>
      <x:c r="G25" s="47" t="n">
        <x:v>0.001388888888888889</x:v>
      </x:c>
      <x:c r="H25" s="152"/>
      <x:c r="I25" s="104" t="str">
        <x:v>Não</x:v>
      </x:c>
      <x:c r="J25" s="145" t="str"/>
      <x:c r="K25" s="47" t="n">
        <x:v>0</x:v>
      </x:c>
      <x:c r="L25" s="158" t="str">
        <x:v>Fernanda_Gineco_10-07</x:v>
      </x:c>
      <x:c r="M25" s="47" t="n">
        <x:v>0.001388888888888889</x:v>
      </x:c>
      <x:c r="N25" s="278" t="n">
        <x:v>159</x:v>
      </x:c>
    </x:row>
    <x:row r="26">
      <x:c r="A26" s="157" t="n">
        <x:v>46213</x:v>
      </x:c>
      <x:c r="B26" s="104" t="str">
        <x:v>Fernanda Ferreira D</x:v>
      </x:c>
      <x:c r="C26" s="104" t="str">
        <x:v>Ginecologia Clínica</x:v>
      </x:c>
      <x:c r="D26" s="104" t="str">
        <x:v>Paciente 11</x:v>
      </x:c>
      <x:c r="E26" s="46" t="n">
        <x:v>46213.447916666664</x:v>
      </x:c>
      <x:c r="F26" s="46" t="n">
        <x:v>46213.45694444444</x:v>
      </x:c>
      <x:c r="G26" s="47" t="n">
        <x:v>0.009027777777777777</x:v>
      </x:c>
      <x:c r="H26" s="152"/>
      <x:c r="I26" s="104" t="str">
        <x:v>Não</x:v>
      </x:c>
      <x:c r="J26" s="145" t="str"/>
      <x:c r="K26" s="47" t="n">
        <x:v>0.007638888888888889</x:v>
      </x:c>
      <x:c r="L26" s="158" t="str">
        <x:v>Fernanda_Gineco_10-07</x:v>
      </x:c>
      <x:c r="M26" s="47" t="n">
        <x:v>0.009027777777777777</x:v>
      </x:c>
      <x:c r="N26" s="278" t="n">
        <x:v>15</x:v>
      </x:c>
    </x:row>
    <x:row r="27">
      <x:c r="A27" s="157" t="n">
        <x:v>46213</x:v>
      </x:c>
      <x:c r="B27" s="104" t="str">
        <x:v>Fernanda Ferreira D</x:v>
      </x:c>
      <x:c r="C27" s="104" t="str">
        <x:v>Ginecologia Clínica</x:v>
      </x:c>
      <x:c r="D27" s="104" t="str">
        <x:v>Paciente 12</x:v>
      </x:c>
      <x:c r="E27" s="46" t="n">
        <x:v>46213.464583333334</x:v>
      </x:c>
      <x:c r="F27" s="46" t="n">
        <x:v>46213.467361111114</x:v>
      </x:c>
      <x:c r="G27" s="47" t="n">
        <x:v>0.002777777777777778</x:v>
      </x:c>
      <x:c r="H27" s="152"/>
      <x:c r="I27" s="104" t="str">
        <x:v>Não</x:v>
      </x:c>
      <x:c r="J27" s="145" t="str"/>
      <x:c r="K27" s="47" t="n">
        <x:v>0.0020833333333333333</x:v>
      </x:c>
      <x:c r="L27" s="158" t="str">
        <x:v>Fernanda_Gineco_10-07</x:v>
      </x:c>
      <x:c r="M27" s="47" t="n">
        <x:v>0.002777777777777778</x:v>
      </x:c>
      <x:c r="N27" s="278" t="n">
        <x:v>82</x:v>
      </x:c>
    </x:row>
    <x:row r="28">
      <x:c r="A28" s="157" t="n">
        <x:v>46213</x:v>
      </x:c>
      <x:c r="B28" s="104" t="str">
        <x:v>Fernanda Ferreira D</x:v>
      </x:c>
      <x:c r="C28" s="104" t="str">
        <x:v>Ginecologia Clínica</x:v>
      </x:c>
      <x:c r="D28" s="104" t="str">
        <x:v>Paciente 13</x:v>
      </x:c>
      <x:c r="E28" s="46" t="n">
        <x:v>46213.46944444445</x:v>
      </x:c>
      <x:c r="F28" s="46" t="n">
        <x:v>46213.475</x:v>
      </x:c>
      <x:c r="G28" s="47" t="n">
        <x:v>0.005555555555555556</x:v>
      </x:c>
      <x:c r="H28" s="152"/>
      <x:c r="I28" s="104" t="str">
        <x:v>Não</x:v>
      </x:c>
      <x:c r="J28" s="145" t="str"/>
      <x:c r="K28" s="47" t="n">
        <x:v>0.004861111111111111</x:v>
      </x:c>
      <x:c r="L28" s="158" t="str">
        <x:v>Fernanda_Gineco_10-07</x:v>
      </x:c>
      <x:c r="M28" s="47" t="n">
        <x:v>0.005555555555555556</x:v>
      </x:c>
      <x:c r="N28" s="278" t="n">
        <x:v>65</x:v>
      </x:c>
    </x:row>
    <x:row r="29">
      <x:c r="A29" s="157" t="n">
        <x:v>46213</x:v>
      </x:c>
      <x:c r="B29" s="104" t="str">
        <x:v>Fernanda Ferreira D</x:v>
      </x:c>
      <x:c r="C29" s="104" t="str">
        <x:v>Ginecologia Clínica</x:v>
      </x:c>
      <x:c r="D29" s="104" t="str">
        <x:v>Paciente 14</x:v>
      </x:c>
      <x:c r="E29" s="46" t="n">
        <x:v>46213.47986111111</x:v>
      </x:c>
      <x:c r="F29" s="46" t="n">
        <x:v>46213.48541666667</x:v>
      </x:c>
      <x:c r="G29" s="47" t="n">
        <x:v>0.005555555555555556</x:v>
      </x:c>
      <x:c r="H29" s="152"/>
      <x:c r="I29" s="104" t="str">
        <x:v>Não</x:v>
      </x:c>
      <x:c r="J29" s="145" t="str"/>
      <x:c r="K29" s="47" t="n">
        <x:v>0.003472222222222222</x:v>
      </x:c>
      <x:c r="L29" s="158" t="str">
        <x:v>Fernanda_Gineco_10-07</x:v>
      </x:c>
      <x:c r="M29" s="47" t="n">
        <x:v>0.005555555555555556</x:v>
      </x:c>
      <x:c r="N29" s="278" t="n">
        <x:v>207</x:v>
      </x:c>
    </x:row>
    <x:row r="30">
      <x:c r="A30" s="157" t="n">
        <x:v>46213</x:v>
      </x:c>
      <x:c r="B30" s="104" t="str">
        <x:v>Fernanda Ferreira D</x:v>
      </x:c>
      <x:c r="C30" s="104" t="str">
        <x:v>Ginecologia Clínica</x:v>
      </x:c>
      <x:c r="D30" s="104" t="str">
        <x:v>Paciente 15</x:v>
      </x:c>
      <x:c r="E30" s="46" t="n">
        <x:v>46213.48888888889</x:v>
      </x:c>
      <x:c r="F30" s="46" t="n">
        <x:v>46213.495833333334</x:v>
      </x:c>
      <x:c r="G30" s="47" t="n">
        <x:v>0.006944444444444444</x:v>
      </x:c>
      <x:c r="H30" s="152"/>
      <x:c r="I30" s="104" t="str">
        <x:v>Não</x:v>
      </x:c>
      <x:c r="J30" s="145" t="str"/>
      <x:c r="K30" s="47" t="n">
        <x:v>0.003472222222222222</x:v>
      </x:c>
      <x:c r="L30" s="158" t="str">
        <x:v>Fernanda_Gineco_10-07</x:v>
      </x:c>
      <x:c r="M30" s="47" t="n">
        <x:v>0.006944444444444444</x:v>
      </x:c>
      <x:c r="N30" s="278" t="n">
        <x:v>70</x:v>
      </x:c>
    </x:row>
    <x:row r="31">
      <x:c r="A31" s="157" t="n">
        <x:v>46213</x:v>
      </x:c>
      <x:c r="B31" s="104" t="str">
        <x:v>Fernanda Ferreira D</x:v>
      </x:c>
      <x:c r="C31" s="104" t="str">
        <x:v>Ginecologia Clínica</x:v>
      </x:c>
      <x:c r="D31" s="104" t="str">
        <x:v>Paciente 16</x:v>
      </x:c>
      <x:c r="E31" s="46" t="n">
        <x:v>46213.49930555555</x:v>
      </x:c>
      <x:c r="F31" s="46" t="n">
        <x:v>46213.50069444445</x:v>
      </x:c>
      <x:c r="G31" s="47" t="n">
        <x:v>0.001388888888888889</x:v>
      </x:c>
      <x:c r="H31" s="152"/>
      <x:c r="I31" s="104" t="str">
        <x:v>Não</x:v>
      </x:c>
      <x:c r="J31" s="145" t="str"/>
      <x:c r="K31" s="47" t="n">
        <x:v>0.003472222222222222</x:v>
      </x:c>
      <x:c r="L31" s="158" t="str">
        <x:v>Fernanda_Gineco_10-07</x:v>
      </x:c>
      <x:c r="M31" s="47" t="n">
        <x:v>0.001388888888888889</x:v>
      </x:c>
      <x:c r="N31" s="278" t="n">
        <x:v>53</x:v>
      </x:c>
    </x:row>
    <x:row r="32">
      <x:c r="A32" s="157" t="n">
        <x:v>46213</x:v>
      </x:c>
      <x:c r="B32" s="104" t="str">
        <x:v>Fernanda Ferreira D</x:v>
      </x:c>
      <x:c r="C32" s="104" t="str">
        <x:v>Ginecologia Clínica</x:v>
      </x:c>
      <x:c r="D32" s="104" t="str">
        <x:v>Paciente 17</x:v>
      </x:c>
      <x:c r="E32" s="46" t="n">
        <x:v>46213.504166666666</x:v>
      </x:c>
      <x:c r="F32" s="46" t="n">
        <x:v>46213.51111111111</x:v>
      </x:c>
      <x:c r="G32" s="47" t="n">
        <x:v>0.006944444444444444</x:v>
      </x:c>
      <x:c r="H32" s="152"/>
      <x:c r="I32" s="104" t="str">
        <x:v>Não</x:v>
      </x:c>
      <x:c r="J32" s="145" t="str"/>
      <x:c r="K32" s="47" t="n">
        <x:v>0.002777777777777778</x:v>
      </x:c>
      <x:c r="L32" s="158" t="str">
        <x:v>Fernanda_Gineco_10-07</x:v>
      </x:c>
      <x:c r="M32" s="47" t="n">
        <x:v>0.006944444444444444</x:v>
      </x:c>
      <x:c r="N32" s="278" t="n">
        <x:v>242</x:v>
      </x:c>
    </x:row>
    <x:row r="33">
      <x:c r="A33" s="157" t="n">
        <x:v>46213</x:v>
      </x:c>
      <x:c r="B33" s="104" t="str">
        <x:v>Fernanda Ferreira D</x:v>
      </x:c>
      <x:c r="C33" s="104" t="str">
        <x:v>Ginecologia Clínica</x:v>
      </x:c>
      <x:c r="D33" s="104" t="str">
        <x:v>Paciente 18</x:v>
      </x:c>
      <x:c r="E33" s="46" t="n">
        <x:v>46213.51388888889</x:v>
      </x:c>
      <x:c r="F33" s="46" t="n">
        <x:v>46213.518055555556</x:v>
      </x:c>
      <x:c r="G33" s="47" t="n">
        <x:v>0.004166666666666667</x:v>
      </x:c>
      <x:c r="H33" s="152"/>
      <x:c r="I33" s="104" t="str">
        <x:v>Não</x:v>
      </x:c>
      <x:c r="J33" s="145" t="str"/>
      <x:c r="K33" s="47" t="n">
        <x:v>0.001388888888888889</x:v>
      </x:c>
      <x:c r="L33" s="158" t="str">
        <x:v>Fernanda_Gineco_10-07</x:v>
      </x:c>
      <x:c r="M33" s="47" t="n">
        <x:v>0.004166666666666667</x:v>
      </x:c>
      <x:c r="N33" s="278" t="n">
        <x:v>29</x:v>
      </x:c>
    </x:row>
    <x:row r="34">
      <x:c r="A34" s="157" t="n">
        <x:v>46213</x:v>
      </x:c>
      <x:c r="B34" s="104" t="str">
        <x:v>Fernanda Ferreira D</x:v>
      </x:c>
      <x:c r="C34" s="104" t="str">
        <x:v>Ginecologia Clínica</x:v>
      </x:c>
      <x:c r="D34" s="104" t="str">
        <x:v>Paciente 19</x:v>
      </x:c>
      <x:c r="E34" s="46" t="n">
        <x:v>46213.51944444444</x:v>
      </x:c>
      <x:c r="F34" s="46" t="n">
        <x:v>46213.52777777778</x:v>
      </x:c>
      <x:c r="G34" s="47" t="n">
        <x:v>0.008333333333333333</x:v>
      </x:c>
      <x:c r="H34" s="152"/>
      <x:c r="I34" s="104" t="str">
        <x:v>Não</x:v>
      </x:c>
      <x:c r="J34" s="145" t="str"/>
      <x:c r="K34" s="47" t="n">
        <x:v>0.001388888888888889</x:v>
      </x:c>
      <x:c r="L34" s="158" t="str">
        <x:v>Fernanda_Gineco_10-07</x:v>
      </x:c>
      <x:c r="M34" s="47" t="n">
        <x:v>0.008333333333333333</x:v>
      </x:c>
      <x:c r="N34" s="278" t="n">
        <x:v>20</x:v>
      </x:c>
    </x:row>
    <x:row r="35">
      <x:c r="A35" s="157" t="n">
        <x:v>46213</x:v>
      </x:c>
      <x:c r="B35" s="104" t="str">
        <x:v>Fernanda Ferreira D</x:v>
      </x:c>
      <x:c r="C35" s="104" t="str">
        <x:v>Ginecologia Clínica</x:v>
      </x:c>
      <x:c r="D35" s="104" t="str">
        <x:v>Paciente 20</x:v>
      </x:c>
      <x:c r="E35" s="46" t="n">
        <x:v>46213.52916666667</x:v>
      </x:c>
      <x:c r="F35" s="46" t="n">
        <x:v>46213.53125</x:v>
      </x:c>
      <x:c r="G35" s="47" t="n">
        <x:v>0.0020833333333333333</x:v>
      </x:c>
      <x:c r="H35" s="152"/>
      <x:c r="I35" s="104" t="str">
        <x:v>Não</x:v>
      </x:c>
      <x:c r="J35" s="145" t="str"/>
      <x:c r="K35" s="47" t="n">
        <x:v>0.002777777777777778</x:v>
      </x:c>
      <x:c r="L35" s="158" t="str">
        <x:v>Fernanda_Gineco_10-07</x:v>
      </x:c>
      <x:c r="M35" s="47" t="n">
        <x:v>0.0020833333333333333</x:v>
      </x:c>
      <x:c r="N35" s="278" t="n">
        <x:v>278</x:v>
      </x:c>
    </x:row>
    <x:row r="36">
      <x:c r="A36" s="157" t="n">
        <x:v>46213</x:v>
      </x:c>
      <x:c r="B36" s="104" t="str">
        <x:v>Fernanda Ferreira D</x:v>
      </x:c>
      <x:c r="C36" s="104" t="str">
        <x:v>Ginecologia Clínica</x:v>
      </x:c>
      <x:c r="D36" s="104" t="str">
        <x:v>Paciente 21</x:v>
      </x:c>
      <x:c r="E36" s="46" t="n">
        <x:v>46213.53402777778</x:v>
      </x:c>
      <x:c r="F36" s="46" t="n">
        <x:v>46213.53611111111</x:v>
      </x:c>
      <x:c r="G36" s="47" t="n">
        <x:v>0.0020833333333333333</x:v>
      </x:c>
      <x:c r="H36" s="152"/>
      <x:c r="I36" s="104" t="str">
        <x:v>Não</x:v>
      </x:c>
      <x:c r="J36" s="145" t="str"/>
      <x:c r="K36" s="47" t="n">
        <x:v>0.03194444444444444</x:v>
      </x:c>
      <x:c r="L36" s="158" t="str">
        <x:v>Fernanda_Gineco_10-07</x:v>
      </x:c>
      <x:c r="M36" s="47" t="n">
        <x:v>0.0020833333333333333</x:v>
      </x:c>
      <x:c r="N36" s="278" t="n">
        <x:v>39</x:v>
      </x:c>
    </x:row>
    <x:row r="37">
      <x:c r="A37" s="157" t="n">
        <x:v>46213</x:v>
      </x:c>
      <x:c r="B37" s="104" t="str">
        <x:v>Fernanda Ferreira D</x:v>
      </x:c>
      <x:c r="C37" s="104" t="str">
        <x:v>Ginecologia Clínica</x:v>
      </x:c>
      <x:c r="D37" s="104" t="str">
        <x:v>Paciente 22</x:v>
      </x:c>
      <x:c r="E37" s="46" t="n">
        <x:v>46213.56805555556</x:v>
      </x:c>
      <x:c r="F37" s="46" t="n">
        <x:v>46213.57013888889</x:v>
      </x:c>
      <x:c r="G37" s="47" t="n">
        <x:v>0.0020833333333333333</x:v>
      </x:c>
      <x:c r="H37" s="152"/>
      <x:c r="I37" s="104" t="str">
        <x:v>Não</x:v>
      </x:c>
      <x:c r="J37" s="145" t="str"/>
      <x:c r="K37" s="47" t="n">
        <x:v>0</x:v>
      </x:c>
      <x:c r="L37" s="158" t="str">
        <x:v>Fernanda_Gineco_10-07</x:v>
      </x:c>
      <x:c r="M37" s="47" t="n">
        <x:v>0.0020833333333333333</x:v>
      </x:c>
      <x:c r="N37" s="278" t="n">
        <x:v>40</x:v>
      </x:c>
    </x:row>
    <x:row r="38">
      <x:c r="A38" s="157" t="n">
        <x:v>46213</x:v>
      </x:c>
      <x:c r="B38" s="104" t="str">
        <x:v>Fernanda Ferreira D</x:v>
      </x:c>
      <x:c r="C38" s="104" t="str">
        <x:v>Ginecologia Clínica</x:v>
      </x:c>
      <x:c r="D38" s="104" t="str">
        <x:v>Paciente 23</x:v>
      </x:c>
      <x:c r="E38" s="46" t="n">
        <x:v>46213.57013888889</x:v>
      </x:c>
      <x:c r="F38" s="46" t="n">
        <x:v>46213.57152777778</x:v>
      </x:c>
      <x:c r="G38" s="47" t="n">
        <x:v>0.001388888888888889</x:v>
      </x:c>
      <x:c r="H38" s="152"/>
      <x:c r="I38" s="104" t="str">
        <x:v>Não</x:v>
      </x:c>
      <x:c r="J38" s="145" t="str"/>
      <x:c r="K38" s="47" t="n">
        <x:v>0.004166666666666667</x:v>
      </x:c>
      <x:c r="L38" s="158" t="str">
        <x:v>Fernanda_Gineco_10-07</x:v>
      </x:c>
      <x:c r="M38" s="47" t="n">
        <x:v>0.001388888888888889</x:v>
      </x:c>
      <x:c r="N38" s="278" t="n">
        <x:v>20</x:v>
      </x:c>
    </x:row>
    <x:row r="39">
      <x:c r="A39" s="157" t="n">
        <x:v>46213</x:v>
      </x:c>
      <x:c r="B39" s="104" t="str">
        <x:v>Fernanda Ferreira D</x:v>
      </x:c>
      <x:c r="C39" s="104" t="str">
        <x:v>Ginecologia Clínica</x:v>
      </x:c>
      <x:c r="D39" s="104" t="str">
        <x:v>Paciente 24</x:v>
      </x:c>
      <x:c r="E39" s="46" t="n">
        <x:v>46213.575694444444</x:v>
      </x:c>
      <x:c r="F39" s="46" t="n">
        <x:v>46213.58472222222</x:v>
      </x:c>
      <x:c r="G39" s="47" t="n">
        <x:v>0.009027777777777777</x:v>
      </x:c>
      <x:c r="H39" s="152"/>
      <x:c r="I39" s="104" t="str">
        <x:v>Não</x:v>
      </x:c>
      <x:c r="J39" s="145" t="str"/>
      <x:c r="K39" s="47" t="n">
        <x:v>0.001388888888888889</x:v>
      </x:c>
      <x:c r="L39" s="158" t="str">
        <x:v>Fernanda_Gineco_10-07</x:v>
      </x:c>
      <x:c r="M39" s="47" t="n">
        <x:v>0.009027777777777777</x:v>
      </x:c>
      <x:c r="N39" s="278" t="n">
        <x:v>12</x:v>
      </x:c>
    </x:row>
    <x:row r="40">
      <x:c r="A40" s="157" t="n">
        <x:v>46213</x:v>
      </x:c>
      <x:c r="B40" s="104" t="str">
        <x:v>Fernanda Ferreira D</x:v>
      </x:c>
      <x:c r="C40" s="104" t="str">
        <x:v>Ginecologia Clínica</x:v>
      </x:c>
      <x:c r="D40" s="104" t="str">
        <x:v>Paciente 25</x:v>
      </x:c>
      <x:c r="E40" s="46" t="n">
        <x:v>46213.58611111111</x:v>
      </x:c>
      <x:c r="F40" s="46" t="n">
        <x:v>46213.59444444445</x:v>
      </x:c>
      <x:c r="G40" s="47" t="n">
        <x:v>0.008333333333333333</x:v>
      </x:c>
      <x:c r="H40" s="152"/>
      <x:c r="I40" s="104" t="str">
        <x:v>Não</x:v>
      </x:c>
      <x:c r="J40" s="145" t="str"/>
      <x:c r="K40" s="47" t="n">
        <x:v>0.0020833333333333333</x:v>
      </x:c>
      <x:c r="L40" s="158" t="str">
        <x:v>Fernanda_Gineco_10-07</x:v>
      </x:c>
      <x:c r="M40" s="47" t="n">
        <x:v>0.008333333333333333</x:v>
      </x:c>
      <x:c r="N40" s="278" t="n">
        <x:v>43</x:v>
      </x:c>
    </x:row>
    <x:row r="41">
      <x:c r="A41" s="157" t="n">
        <x:v>46213</x:v>
      </x:c>
      <x:c r="B41" s="104" t="str">
        <x:v>Fernanda Ferreira D</x:v>
      </x:c>
      <x:c r="C41" s="104" t="str">
        <x:v>Ginecologia Clínica</x:v>
      </x:c>
      <x:c r="D41" s="104" t="str">
        <x:v>Paciente 26</x:v>
      </x:c>
      <x:c r="E41" s="46" t="n">
        <x:v>46213.59652777778</x:v>
      </x:c>
      <x:c r="F41" s="46" t="n">
        <x:v>46213.59930555556</x:v>
      </x:c>
      <x:c r="G41" s="47" t="n">
        <x:v>0.002777777777777778</x:v>
      </x:c>
      <x:c r="H41" s="152"/>
      <x:c r="I41" s="104" t="str">
        <x:v>Não</x:v>
      </x:c>
      <x:c r="J41" s="145" t="str"/>
      <x:c r="K41" s="47" t="n">
        <x:v>0.003472222222222222</x:v>
      </x:c>
      <x:c r="L41" s="158" t="str">
        <x:v>Fernanda_Gineco_10-07</x:v>
      </x:c>
      <x:c r="M41" s="47" t="n">
        <x:v>0.002777777777777778</x:v>
      </x:c>
      <x:c r="N41" s="278" t="n">
        <x:v>17</x:v>
      </x:c>
    </x:row>
    <x:row r="42">
      <x:c r="A42" s="157" t="n">
        <x:v>46213</x:v>
      </x:c>
      <x:c r="B42" s="104" t="str">
        <x:v>Fernanda Ferreira D</x:v>
      </x:c>
      <x:c r="C42" s="104" t="str">
        <x:v>Ginecologia Clínica</x:v>
      </x:c>
      <x:c r="D42" s="104" t="str">
        <x:v>Paciente 27</x:v>
      </x:c>
      <x:c r="E42" s="46" t="n">
        <x:v>46213.60277777778</x:v>
      </x:c>
      <x:c r="F42" s="46" t="n">
        <x:v>46213.60555555556</x:v>
      </x:c>
      <x:c r="G42" s="47" t="n">
        <x:v>0.002777777777777778</x:v>
      </x:c>
      <x:c r="H42" s="152"/>
      <x:c r="I42" s="104" t="str">
        <x:v>Não</x:v>
      </x:c>
      <x:c r="J42" s="145" t="str"/>
      <x:c r="K42" s="47" t="n">
        <x:v>0</x:v>
      </x:c>
      <x:c r="L42" s="158" t="str">
        <x:v>Fernanda_Gineco_10-07</x:v>
      </x:c>
      <x:c r="M42" s="47" t="n">
        <x:v>0.002777777777777778</x:v>
      </x:c>
      <x:c r="N42" s="278" t="n">
        <x:v>67</x:v>
      </x:c>
    </x:row>
    <x:row r="43">
      <x:c r="A43" s="157" t="n">
        <x:v>46213</x:v>
      </x:c>
      <x:c r="B43" s="104" t="str">
        <x:v>Fernanda Ferreira D</x:v>
      </x:c>
      <x:c r="C43" s="104" t="str">
        <x:v>Ginecologia Clínica</x:v>
      </x:c>
      <x:c r="D43" s="104" t="str">
        <x:v>Paciente 28</x:v>
      </x:c>
      <x:c r="E43" s="46" t="n">
        <x:v>46213.60555555556</x:v>
      </x:c>
      <x:c r="F43" s="46" t="n">
        <x:v>46213.60833333333</x:v>
      </x:c>
      <x:c r="G43" s="47" t="n">
        <x:v>0.002777777777777778</x:v>
      </x:c>
      <x:c r="H43" s="152"/>
      <x:c r="I43" s="104" t="str">
        <x:v>Não</x:v>
      </x:c>
      <x:c r="J43" s="145" t="str"/>
      <x:c r="K43" s="47" t="n">
        <x:v>0.005555555555555556</x:v>
      </x:c>
      <x:c r="L43" s="158" t="str">
        <x:v>Fernanda_Gineco_10-07</x:v>
      </x:c>
      <x:c r="M43" s="47" t="n">
        <x:v>0.002777777777777778</x:v>
      </x:c>
      <x:c r="N43" s="278" t="n">
        <x:v>10</x:v>
      </x:c>
    </x:row>
    <x:row r="44">
      <x:c r="A44" s="157" t="n">
        <x:v>46213</x:v>
      </x:c>
      <x:c r="B44" s="104" t="str">
        <x:v>Fernanda Ferreira D</x:v>
      </x:c>
      <x:c r="C44" s="104" t="str">
        <x:v>Ginecologia Clínica</x:v>
      </x:c>
      <x:c r="D44" s="104" t="str">
        <x:v>Paciente 29</x:v>
      </x:c>
      <x:c r="E44" s="46" t="n">
        <x:v>46213.61388888889</x:v>
      </x:c>
      <x:c r="F44" s="46" t="n">
        <x:v>46213.620833333334</x:v>
      </x:c>
      <x:c r="G44" s="47" t="n">
        <x:v>0.006944444444444444</x:v>
      </x:c>
      <x:c r="H44" s="152"/>
      <x:c r="I44" s="104" t="str">
        <x:v>Não</x:v>
      </x:c>
      <x:c r="J44" s="145" t="str"/>
      <x:c r="K44" s="47" t="n">
        <x:v>0.0006944444444444445</x:v>
      </x:c>
      <x:c r="L44" s="158" t="str">
        <x:v>Fernanda_Gineco_10-07</x:v>
      </x:c>
      <x:c r="M44" s="47" t="n">
        <x:v>0.006944444444444444</x:v>
      </x:c>
      <x:c r="N44" s="278" t="n">
        <x:v>83</x:v>
      </x:c>
    </x:row>
    <x:row r="45">
      <x:c r="A45" s="157" t="n">
        <x:v>46213</x:v>
      </x:c>
      <x:c r="B45" s="104" t="str">
        <x:v>Fernanda Ferreira D</x:v>
      </x:c>
      <x:c r="C45" s="104" t="str">
        <x:v>Ginecologia Clínica</x:v>
      </x:c>
      <x:c r="D45" s="104" t="str">
        <x:v>Paciente 30</x:v>
      </x:c>
      <x:c r="E45" s="46" t="n">
        <x:v>46213.62152777778</x:v>
      </x:c>
      <x:c r="F45" s="46" t="n">
        <x:v>46213.631944444445</x:v>
      </x:c>
      <x:c r="G45" s="47" t="n">
        <x:v>0.010416666666666666</x:v>
      </x:c>
      <x:c r="H45" s="152"/>
      <x:c r="I45" s="104" t="str">
        <x:v>Não</x:v>
      </x:c>
      <x:c r="J45" s="145" t="str"/>
      <x:c r="K45" s="47" t="n">
        <x:v>0.002777777777777778</x:v>
      </x:c>
      <x:c r="L45" s="158" t="str">
        <x:v>Fernanda_Gineco_10-07</x:v>
      </x:c>
      <x:c r="M45" s="47" t="n">
        <x:v>0.010416666666666666</x:v>
      </x:c>
      <x:c r="N45" s="278" t="n">
        <x:v>36</x:v>
      </x:c>
    </x:row>
    <x:row r="46">
      <x:c r="A46" s="157" t="n">
        <x:v>46213</x:v>
      </x:c>
      <x:c r="B46" s="104" t="str">
        <x:v>Fernanda Ferreira D</x:v>
      </x:c>
      <x:c r="C46" s="104" t="str">
        <x:v>Ginecologia Clínica</x:v>
      </x:c>
      <x:c r="D46" s="104" t="str">
        <x:v>Paciente 31</x:v>
      </x:c>
      <x:c r="E46" s="46" t="n">
        <x:v>46213.634722222225</x:v>
      </x:c>
      <x:c r="F46" s="46" t="n">
        <x:v>46213.63958333333</x:v>
      </x:c>
      <x:c r="G46" s="47" t="n">
        <x:v>0.004861111111111111</x:v>
      </x:c>
      <x:c r="H46" s="152"/>
      <x:c r="I46" s="104" t="str">
        <x:v>Não</x:v>
      </x:c>
      <x:c r="J46" s="145" t="str"/>
      <x:c r="K46" s="47" t="n">
        <x:v>0.0020833333333333333</x:v>
      </x:c>
      <x:c r="L46" s="158" t="str">
        <x:v>Fernanda_Gineco_10-07</x:v>
      </x:c>
      <x:c r="M46" s="47" t="n">
        <x:v>0.004861111111111111</x:v>
      </x:c>
      <x:c r="N46" s="278" t="n">
        <x:v>47</x:v>
      </x:c>
    </x:row>
    <x:row r="47">
      <x:c r="A47" s="157" t="n">
        <x:v>46213</x:v>
      </x:c>
      <x:c r="B47" s="104" t="str">
        <x:v>Fernanda Ferreira D</x:v>
      </x:c>
      <x:c r="C47" s="104" t="str">
        <x:v>Ginecologia Clínica</x:v>
      </x:c>
      <x:c r="D47" s="104" t="str">
        <x:v>Paciente 32</x:v>
      </x:c>
      <x:c r="E47" s="46" t="n">
        <x:v>46213.64166666667</x:v>
      </x:c>
      <x:c r="F47" s="46" t="n">
        <x:v>46213.64444444444</x:v>
      </x:c>
      <x:c r="G47" s="47" t="n">
        <x:v>0.002777777777777778</x:v>
      </x:c>
      <x:c r="H47" s="152"/>
      <x:c r="I47" s="104" t="str">
        <x:v>Não</x:v>
      </x:c>
      <x:c r="J47" s="145" t="str"/>
      <x:c r="K47" s="47" t="n">
        <x:v>0.004166666666666667</x:v>
      </x:c>
      <x:c r="L47" s="158" t="str">
        <x:v>Fernanda_Gineco_10-07</x:v>
      </x:c>
      <x:c r="M47" s="47" t="n">
        <x:v>0.002777777777777778</x:v>
      </x:c>
      <x:c r="N47" s="278" t="n">
        <x:v>31</x:v>
      </x:c>
    </x:row>
    <x:row r="48">
      <x:c r="A48" s="157" t="n">
        <x:v>46213</x:v>
      </x:c>
      <x:c r="B48" s="104" t="str">
        <x:v>Fernanda Ferreira D</x:v>
      </x:c>
      <x:c r="C48" s="104" t="str">
        <x:v>Ginecologia Clínica</x:v>
      </x:c>
      <x:c r="D48" s="104" t="str">
        <x:v>Paciente 33</x:v>
      </x:c>
      <x:c r="E48" s="46" t="n">
        <x:v>46213.64861111111</x:v>
      </x:c>
      <x:c r="F48" s="46" t="n">
        <x:v>46213.65416666667</x:v>
      </x:c>
      <x:c r="G48" s="47" t="n">
        <x:v>0.005555555555555556</x:v>
      </x:c>
      <x:c r="H48" s="152"/>
      <x:c r="I48" s="104" t="str">
        <x:v>Não</x:v>
      </x:c>
      <x:c r="J48" s="145" t="str"/>
      <x:c r="K48" s="47" t="n">
        <x:v>0.0006944444444444445</x:v>
      </x:c>
      <x:c r="L48" s="158" t="str">
        <x:v>Fernanda_Gineco_10-07</x:v>
      </x:c>
      <x:c r="M48" s="47" t="n">
        <x:v>0.005555555555555556</x:v>
      </x:c>
      <x:c r="N48" s="278" t="n">
        <x:v>40</x:v>
      </x:c>
    </x:row>
    <x:row r="49">
      <x:c r="A49" s="157" t="n">
        <x:v>46213</x:v>
      </x:c>
      <x:c r="B49" s="104" t="str">
        <x:v>Fernanda Ferreira D</x:v>
      </x:c>
      <x:c r="C49" s="104" t="str">
        <x:v>Obstetrícia / Pré-Natal</x:v>
      </x:c>
      <x:c r="D49" s="104" t="str">
        <x:v>Paciente 34</x:v>
      </x:c>
      <x:c r="E49" s="46" t="n">
        <x:v>46213.654861111114</x:v>
      </x:c>
      <x:c r="F49" s="46" t="n">
        <x:v>46213.65833333333</x:v>
      </x:c>
      <x:c r="G49" s="47" t="n">
        <x:v>0.003472222222222222</x:v>
      </x:c>
      <x:c r="H49" s="152"/>
      <x:c r="I49" s="104" t="str">
        <x:v>Não</x:v>
      </x:c>
      <x:c r="J49" s="145" t="str"/>
      <x:c r="K49" s="47" t="n">
        <x:v>0.007638888888888889</x:v>
      </x:c>
      <x:c r="L49" s="158" t="str">
        <x:v>Fernanda_Gineco_10-07</x:v>
      </x:c>
      <x:c r="M49" s="47" t="n">
        <x:v>0.003472222222222222</x:v>
      </x:c>
      <x:c r="N49" s="278" t="n">
        <x:v>16</x:v>
      </x:c>
    </x:row>
    <x:row r="50">
      <x:c r="A50" s="157" t="n">
        <x:v>46213</x:v>
      </x:c>
      <x:c r="B50" s="104" t="str">
        <x:v>Fernanda Ferreira D</x:v>
      </x:c>
      <x:c r="C50" s="104" t="str">
        <x:v>Ginecologia Clínica</x:v>
      </x:c>
      <x:c r="D50" s="104" t="str">
        <x:v>Paciente 35</x:v>
      </x:c>
      <x:c r="E50" s="46" t="n">
        <x:v>46213.665972222225</x:v>
      </x:c>
      <x:c r="F50" s="46" t="n">
        <x:v>46213.67986111111</x:v>
      </x:c>
      <x:c r="G50" s="47" t="n">
        <x:v>0.013888888888888888</x:v>
      </x:c>
      <x:c r="H50" s="152"/>
      <x:c r="I50" s="104" t="str">
        <x:v>Não</x:v>
      </x:c>
      <x:c r="J50" s="145" t="str"/>
      <x:c r="K50" s="47" t="n">
        <x:v>0.0006944444444444445</x:v>
      </x:c>
      <x:c r="L50" s="158" t="str">
        <x:v>Fernanda_Gineco_10-07</x:v>
      </x:c>
      <x:c r="M50" s="47" t="n">
        <x:v>0.013888888888888888</x:v>
      </x:c>
      <x:c r="N50" s="278" t="n">
        <x:v>158</x:v>
      </x:c>
    </x:row>
    <x:row r="51">
      <x:c r="A51" s="157" t="n">
        <x:v>46213</x:v>
      </x:c>
      <x:c r="B51" s="104" t="str">
        <x:v>Fernanda Ferreira D</x:v>
      </x:c>
      <x:c r="C51" s="104" t="str">
        <x:v>Obstetrícia / Pré-Natal</x:v>
      </x:c>
      <x:c r="D51" s="104" t="str">
        <x:v>Paciente 36</x:v>
      </x:c>
      <x:c r="E51" s="46" t="n">
        <x:v>46213.680555555555</x:v>
      </x:c>
      <x:c r="F51" s="46" t="n">
        <x:v>46213.69375</x:v>
      </x:c>
      <x:c r="G51" s="47" t="n">
        <x:v>0.013194444444444444</x:v>
      </x:c>
      <x:c r="H51" s="152"/>
      <x:c r="I51" s="104" t="str">
        <x:v>Não</x:v>
      </x:c>
      <x:c r="J51" s="145" t="str"/>
      <x:c r="K51" s="47" t="n">
        <x:v>0</x:v>
      </x:c>
      <x:c r="L51" s="158" t="str">
        <x:v>Fernanda_Gineco_10-07</x:v>
      </x:c>
      <x:c r="M51" s="47" t="n">
        <x:v>0.013194444444444444</x:v>
      </x:c>
      <x:c r="N51" s="278" t="n">
        <x:v>24</x:v>
      </x:c>
    </x:row>
    <x:row r="52">
      <x:c r="A52" s="157" t="n">
        <x:v>46213</x:v>
      </x:c>
      <x:c r="B52" s="104" t="str">
        <x:v>Fernanda Ferreira D</x:v>
      </x:c>
      <x:c r="C52" s="104" t="str">
        <x:v>Obstetrícia / Pré-Natal</x:v>
      </x:c>
      <x:c r="D52" s="104" t="str">
        <x:v>Paciente 37</x:v>
      </x:c>
      <x:c r="E52" s="46" t="n">
        <x:v>46213.69375</x:v>
      </x:c>
      <x:c r="F52" s="46" t="n">
        <x:v>46213.70486111111</x:v>
      </x:c>
      <x:c r="G52" s="47" t="n">
        <x:v>0.011111111111111112</x:v>
      </x:c>
      <x:c r="H52" s="152"/>
      <x:c r="I52" s="104" t="str">
        <x:v>Não</x:v>
      </x:c>
      <x:c r="J52" s="145" t="str"/>
      <x:c r="K52" s="47" t="n">
        <x:v>0.0006944444444444445</x:v>
      </x:c>
      <x:c r="L52" s="158" t="str">
        <x:v>Fernanda_Gineco_10-07</x:v>
      </x:c>
      <x:c r="M52" s="47" t="n">
        <x:v>0.011111111111111112</x:v>
      </x:c>
      <x:c r="N52" s="278" t="n">
        <x:v>34</x:v>
      </x:c>
    </x:row>
    <x:row r="53">
      <x:c r="A53" s="157" t="n">
        <x:v>46213</x:v>
      </x:c>
      <x:c r="B53" s="104" t="str">
        <x:v>Fernanda Ferreira D</x:v>
      </x:c>
      <x:c r="C53" s="104" t="str">
        <x:v>Obstetrícia / Pré-Natal</x:v>
      </x:c>
      <x:c r="D53" s="104" t="str">
        <x:v>Paciente 38</x:v>
      </x:c>
      <x:c r="E53" s="46" t="n">
        <x:v>46213.705555555556</x:v>
      </x:c>
      <x:c r="F53" s="46" t="n">
        <x:v>46213.714583333334</x:v>
      </x:c>
      <x:c r="G53" s="47" t="n">
        <x:v>0.009027777777777777</x:v>
      </x:c>
      <x:c r="H53" s="152"/>
      <x:c r="I53" s="104" t="str">
        <x:v>Não</x:v>
      </x:c>
      <x:c r="J53" s="145" t="str"/>
      <x:c r="K53" s="47" t="n">
        <x:v>0</x:v>
      </x:c>
      <x:c r="L53" s="158" t="str">
        <x:v>Fernanda_Gineco_10-07</x:v>
      </x:c>
      <x:c r="M53" s="47" t="n">
        <x:v>0.009027777777777777</x:v>
      </x:c>
      <x:c r="N53" s="278" t="n">
        <x:v>17</x:v>
      </x:c>
    </x:row>
    <x:row r="54">
      <x:c r="A54" s="157" t="n">
        <x:v>46213</x:v>
      </x:c>
      <x:c r="B54" s="104" t="str">
        <x:v>Fernanda Ferreira D</x:v>
      </x:c>
      <x:c r="C54" s="104" t="str">
        <x:v>Obstetrícia / Pré-Natal</x:v>
      </x:c>
      <x:c r="D54" s="104" t="str">
        <x:v>Paciente 39</x:v>
      </x:c>
      <x:c r="E54" s="46" t="n">
        <x:v>46213.714583333334</x:v>
      </x:c>
      <x:c r="F54" s="46" t="n">
        <x:v>46213.72222222222</x:v>
      </x:c>
      <x:c r="G54" s="47" t="n">
        <x:v>0.007638888888888889</x:v>
      </x:c>
      <x:c r="H54" s="152"/>
      <x:c r="I54" s="104" t="str">
        <x:v>Não</x:v>
      </x:c>
      <x:c r="J54" s="145" t="str"/>
      <x:c r="K54" s="47" t="n">
        <x:v>0.0006944444444444445</x:v>
      </x:c>
      <x:c r="L54" s="158" t="str">
        <x:v>Fernanda_Gineco_10-07</x:v>
      </x:c>
      <x:c r="M54" s="47" t="n">
        <x:v>0.007638888888888889</x:v>
      </x:c>
      <x:c r="N54" s="278" t="n">
        <x:v>22</x:v>
      </x:c>
    </x:row>
    <x:row r="55">
      <x:c r="A55" s="157" t="n">
        <x:v>46213</x:v>
      </x:c>
      <x:c r="B55" s="104" t="str">
        <x:v>Fernanda Ferreira D</x:v>
      </x:c>
      <x:c r="C55" s="104" t="str">
        <x:v>Obstetrícia / Pré-Natal</x:v>
      </x:c>
      <x:c r="D55" s="104" t="str">
        <x:v>Paciente 40</x:v>
      </x:c>
      <x:c r="E55" s="46" t="n">
        <x:v>46213.722916666666</x:v>
      </x:c>
      <x:c r="F55" s="46" t="n">
        <x:v>46213.72986111111</x:v>
      </x:c>
      <x:c r="G55" s="47" t="n">
        <x:v>0.006944444444444444</x:v>
      </x:c>
      <x:c r="H55" s="152"/>
      <x:c r="I55" s="104" t="str">
        <x:v>Não</x:v>
      </x:c>
      <x:c r="J55" s="145" t="str"/>
      <x:c r="K55" s="47" t="n">
        <x:v>0</x:v>
      </x:c>
      <x:c r="L55" s="158" t="str">
        <x:v>Fernanda_Gineco_10-07</x:v>
      </x:c>
      <x:c r="M55" s="47" t="n">
        <x:v>0.006944444444444444</x:v>
      </x:c>
      <x:c r="N55" s="278" t="n">
        <x:v>54</x:v>
      </x:c>
    </x:row>
    <x:row r="56">
      <x:c r="A56" s="157" t="n">
        <x:v>46213</x:v>
      </x:c>
      <x:c r="B56" s="104" t="str">
        <x:v>Fernanda Ferreira D</x:v>
      </x:c>
      <x:c r="C56" s="104" t="str">
        <x:v>Obstetrícia / Pré-Natal</x:v>
      </x:c>
      <x:c r="D56" s="104" t="str">
        <x:v>Paciente 41</x:v>
      </x:c>
      <x:c r="E56" s="46" t="n">
        <x:v>46213.72986111111</x:v>
      </x:c>
      <x:c r="F56" s="46" t="n">
        <x:v>46213.740277777775</x:v>
      </x:c>
      <x:c r="G56" s="47" t="n">
        <x:v>0.010416666666666666</x:v>
      </x:c>
      <x:c r="H56" s="152"/>
      <x:c r="I56" s="104" t="str">
        <x:v>Não</x:v>
      </x:c>
      <x:c r="J56" s="145" t="str"/>
      <x:c r="K56" s="47" t="n">
        <x:v>0.0006944444444444445</x:v>
      </x:c>
      <x:c r="L56" s="158" t="str">
        <x:v>Fernanda_Gineco_10-07</x:v>
      </x:c>
      <x:c r="M56" s="47" t="n">
        <x:v>0.010416666666666666</x:v>
      </x:c>
      <x:c r="N56" s="278" t="n">
        <x:v>24</x:v>
      </x:c>
    </x:row>
    <x:row r="57">
      <x:c r="A57" s="157" t="n">
        <x:v>46213</x:v>
      </x:c>
      <x:c r="B57" s="104" t="str">
        <x:v>Fernanda Ferreira D</x:v>
      </x:c>
      <x:c r="C57" s="104" t="str">
        <x:v>Obstetrícia / Pré-Natal</x:v>
      </x:c>
      <x:c r="D57" s="104" t="str">
        <x:v>Paciente 42</x:v>
      </x:c>
      <x:c r="E57" s="46" t="n">
        <x:v>46213.74097222222</x:v>
      </x:c>
      <x:c r="F57" s="46" t="n">
        <x:v>46213.75208333333</x:v>
      </x:c>
      <x:c r="G57" s="47" t="n">
        <x:v>0.011111111111111112</x:v>
      </x:c>
      <x:c r="H57" s="152"/>
      <x:c r="I57" s="104" t="str">
        <x:v>Não</x:v>
      </x:c>
      <x:c r="J57" s="145" t="str"/>
      <x:c r="K57" s="47" t="n">
        <x:v>0.0006944444444444445</x:v>
      </x:c>
      <x:c r="L57" s="158" t="str">
        <x:v>Fernanda_Gineco_10-07</x:v>
      </x:c>
      <x:c r="M57" s="47" t="n">
        <x:v>0.011111111111111112</x:v>
      </x:c>
      <x:c r="N57" s="278" t="n">
        <x:v>45</x:v>
      </x:c>
    </x:row>
    <x:row r="58">
      <x:c r="A58" s="157" t="n">
        <x:v>46213</x:v>
      </x:c>
      <x:c r="B58" s="104" t="str">
        <x:v>Fernanda Ferreira D</x:v>
      </x:c>
      <x:c r="C58" s="104" t="str">
        <x:v>Obstetrícia / Pré-Natal</x:v>
      </x:c>
      <x:c r="D58" s="104" t="str">
        <x:v>Paciente 43</x:v>
      </x:c>
      <x:c r="E58" s="46" t="n">
        <x:v>46213.75277777778</x:v>
      </x:c>
      <x:c r="F58" s="46" t="n">
        <x:v>46213.75833333333</x:v>
      </x:c>
      <x:c r="G58" s="47" t="n">
        <x:v>0.005555555555555556</x:v>
      </x:c>
      <x:c r="H58" s="152"/>
      <x:c r="I58" s="104" t="str">
        <x:v>Não</x:v>
      </x:c>
      <x:c r="J58" s="145" t="str"/>
      <x:c r="K58" s="47" t="n">
        <x:v>0.001388888888888889</x:v>
      </x:c>
      <x:c r="L58" s="158" t="str">
        <x:v>Fernanda_Gineco_10-07</x:v>
      </x:c>
      <x:c r="M58" s="47" t="n">
        <x:v>0.005555555555555556</x:v>
      </x:c>
      <x:c r="N58" s="278" t="n">
        <x:v>72</x:v>
      </x:c>
    </x:row>
    <x:row r="59">
      <x:c r="A59" s="157" t="n">
        <x:v>46213</x:v>
      </x:c>
      <x:c r="B59" s="104" t="str">
        <x:v>Fernanda Ferreira D</x:v>
      </x:c>
      <x:c r="C59" s="104" t="str">
        <x:v>Obstetrícia / Pré-Natal</x:v>
      </x:c>
      <x:c r="D59" s="104" t="str">
        <x:v>Paciente 44</x:v>
      </x:c>
      <x:c r="E59" s="46" t="n">
        <x:v>46213.759722222225</x:v>
      </x:c>
      <x:c r="F59" s="46" t="n">
        <x:v>46213.76597222222</x:v>
      </x:c>
      <x:c r="G59" s="47" t="n">
        <x:v>0.00625</x:v>
      </x:c>
      <x:c r="H59" s="152"/>
      <x:c r="I59" s="104" t="str">
        <x:v>Não</x:v>
      </x:c>
      <x:c r="J59" s="145" t="str"/>
      <x:c r="K59" s="47"/>
      <x:c r="L59" s="158" t="str">
        <x:v>Fernanda_Gineco_10-07</x:v>
      </x:c>
      <x:c r="M59" s="47" t="n">
        <x:v>0.00625</x:v>
      </x:c>
      <x:c r="N59" s="278" t="n">
        <x:v>85</x:v>
      </x:c>
    </x:row>
    <x:row r="60">
      <x:c r="A60" s="157" t="n">
        <x:v>46213</x:v>
      </x:c>
      <x:c r="B60" s="104" t="str">
        <x:v>Marcelo Flavio Gomes</x:v>
      </x:c>
      <x:c r="C60" s="104" t="str">
        <x:v>Cardiologia</x:v>
      </x:c>
      <x:c r="D60" s="104" t="str">
        <x:v>Paciente 1</x:v>
      </x:c>
      <x:c r="E60" s="46" t="n">
        <x:v>46213.35833333333</x:v>
      </x:c>
      <x:c r="F60" s="46" t="n">
        <x:v>46213.36388888889</x:v>
      </x:c>
      <x:c r="G60" s="47" t="n">
        <x:v>0.005555555555555556</x:v>
      </x:c>
      <x:c r="H60" s="152"/>
      <x:c r="I60" s="104" t="str">
        <x:v>Não</x:v>
      </x:c>
      <x:c r="J60" s="145" t="str"/>
      <x:c r="K60" s="47" t="n">
        <x:v>0.0020833333333333333</x:v>
      </x:c>
      <x:c r="L60" s="158" t="str">
        <x:v>Marcelo_Cardio_10-07</x:v>
      </x:c>
      <x:c r="M60" s="47" t="n">
        <x:v>0.005555555555555556</x:v>
      </x:c>
      <x:c r="N60" s="278" t="n">
        <x:v>32</x:v>
      </x:c>
    </x:row>
    <x:row r="61">
      <x:c r="A61" s="157" t="n">
        <x:v>46213</x:v>
      </x:c>
      <x:c r="B61" s="104" t="str">
        <x:v>Marcelo Flavio Gomes</x:v>
      </x:c>
      <x:c r="C61" s="104" t="str">
        <x:v>Cardiologia</x:v>
      </x:c>
      <x:c r="D61" s="104" t="str">
        <x:v>Paciente 2</x:v>
      </x:c>
      <x:c r="E61" s="46" t="n">
        <x:v>46213.36597222222</x:v>
      </x:c>
      <x:c r="F61" s="46" t="n">
        <x:v>46213.37430555555</x:v>
      </x:c>
      <x:c r="G61" s="47" t="n">
        <x:v>0.008333333333333333</x:v>
      </x:c>
      <x:c r="H61" s="152"/>
      <x:c r="I61" s="104" t="str">
        <x:v>Não</x:v>
      </x:c>
      <x:c r="J61" s="145" t="str"/>
      <x:c r="K61" s="47" t="n">
        <x:v>0.004861111111111111</x:v>
      </x:c>
      <x:c r="L61" s="158" t="str">
        <x:v>Marcelo_Cardio_10-07</x:v>
      </x:c>
      <x:c r="M61" s="47" t="n">
        <x:v>0.008333333333333333</x:v>
      </x:c>
      <x:c r="N61" s="278" t="n">
        <x:v>41</x:v>
      </x:c>
    </x:row>
    <x:row r="62">
      <x:c r="A62" s="157" t="n">
        <x:v>46213</x:v>
      </x:c>
      <x:c r="B62" s="104" t="str">
        <x:v>Marcelo Flavio Gomes</x:v>
      </x:c>
      <x:c r="C62" s="104" t="str">
        <x:v>Cardiologia</x:v>
      </x:c>
      <x:c r="D62" s="104" t="str">
        <x:v>Paciente 3</x:v>
      </x:c>
      <x:c r="E62" s="46" t="n">
        <x:v>46213.379166666666</x:v>
      </x:c>
      <x:c r="F62" s="46" t="n">
        <x:v>46213.38888888889</x:v>
      </x:c>
      <x:c r="G62" s="47" t="n">
        <x:v>0.009722222222222222</x:v>
      </x:c>
      <x:c r="H62" s="152"/>
      <x:c r="I62" s="104" t="str">
        <x:v>Não</x:v>
      </x:c>
      <x:c r="J62" s="145" t="str"/>
      <x:c r="K62" s="47" t="n">
        <x:v>0.0006944444444444445</x:v>
      </x:c>
      <x:c r="L62" s="158" t="str">
        <x:v>Marcelo_Cardio_10-07</x:v>
      </x:c>
      <x:c r="M62" s="47" t="n">
        <x:v>0.009722222222222222</x:v>
      </x:c>
      <x:c r="N62" s="278" t="n">
        <x:v>44</x:v>
      </x:c>
    </x:row>
    <x:row r="63">
      <x:c r="A63" s="157" t="n">
        <x:v>46213</x:v>
      </x:c>
      <x:c r="B63" s="104" t="str">
        <x:v>Marcelo Flavio Gomes</x:v>
      </x:c>
      <x:c r="C63" s="104" t="str">
        <x:v>Cardiologia</x:v>
      </x:c>
      <x:c r="D63" s="104" t="str">
        <x:v>Paciente 4</x:v>
      </x:c>
      <x:c r="E63" s="46" t="n">
        <x:v>46213.38958333333</x:v>
      </x:c>
      <x:c r="F63" s="46" t="n">
        <x:v>46213.39444444444</x:v>
      </x:c>
      <x:c r="G63" s="47" t="n">
        <x:v>0.004861111111111111</x:v>
      </x:c>
      <x:c r="H63" s="152"/>
      <x:c r="I63" s="104" t="str">
        <x:v>Não</x:v>
      </x:c>
      <x:c r="J63" s="145" t="str"/>
      <x:c r="K63" s="47" t="n">
        <x:v>0.004166666666666667</x:v>
      </x:c>
      <x:c r="L63" s="158" t="str">
        <x:v>Marcelo_Cardio_10-07</x:v>
      </x:c>
      <x:c r="M63" s="47" t="n">
        <x:v>0.004861111111111111</x:v>
      </x:c>
      <x:c r="N63" s="278" t="n">
        <x:v>58</x:v>
      </x:c>
    </x:row>
    <x:row r="64">
      <x:c r="A64" s="157" t="n">
        <x:v>46213</x:v>
      </x:c>
      <x:c r="B64" s="104" t="str">
        <x:v>Marcelo Flavio Gomes</x:v>
      </x:c>
      <x:c r="C64" s="104" t="str">
        <x:v>Cardiologia</x:v>
      </x:c>
      <x:c r="D64" s="104" t="str">
        <x:v>Paciente 5</x:v>
      </x:c>
      <x:c r="E64" s="46" t="n">
        <x:v>46213.39861111111</x:v>
      </x:c>
      <x:c r="F64" s="46" t="n">
        <x:v>46213.40416666667</x:v>
      </x:c>
      <x:c r="G64" s="47" t="n">
        <x:v>0.005555555555555556</x:v>
      </x:c>
      <x:c r="H64" s="152"/>
      <x:c r="I64" s="104" t="str">
        <x:v>Não</x:v>
      </x:c>
      <x:c r="J64" s="145" t="str"/>
      <x:c r="K64" s="47" t="n">
        <x:v>0.009722222222222222</x:v>
      </x:c>
      <x:c r="L64" s="158" t="str">
        <x:v>Marcelo_Cardio_10-07</x:v>
      </x:c>
      <x:c r="M64" s="47" t="n">
        <x:v>0.005555555555555556</x:v>
      </x:c>
      <x:c r="N64" s="278" t="n">
        <x:v>90</x:v>
      </x:c>
    </x:row>
    <x:row r="65">
      <x:c r="A65" s="157" t="n">
        <x:v>46213</x:v>
      </x:c>
      <x:c r="B65" s="104" t="str">
        <x:v>Marcelo Flavio Gomes</x:v>
      </x:c>
      <x:c r="C65" s="104" t="str">
        <x:v>Cardiologia</x:v>
      </x:c>
      <x:c r="D65" s="104" t="str">
        <x:v>Paciente 6</x:v>
      </x:c>
      <x:c r="E65" s="46" t="n">
        <x:v>46213.41388888889</x:v>
      </x:c>
      <x:c r="F65" s="46" t="n">
        <x:v>46213.42291666667</x:v>
      </x:c>
      <x:c r="G65" s="47" t="n">
        <x:v>0.009027777777777777</x:v>
      </x:c>
      <x:c r="H65" s="152"/>
      <x:c r="I65" s="104" t="str">
        <x:v>Não</x:v>
      </x:c>
      <x:c r="J65" s="145" t="str"/>
      <x:c r="K65" s="47" t="n">
        <x:v>0.0006944444444444445</x:v>
      </x:c>
      <x:c r="L65" s="158" t="str">
        <x:v>Marcelo_Cardio_10-07</x:v>
      </x:c>
      <x:c r="M65" s="47" t="n">
        <x:v>0.009027777777777777</x:v>
      </x:c>
      <x:c r="N65" s="278" t="n">
        <x:v>113</x:v>
      </x:c>
    </x:row>
    <x:row r="66">
      <x:c r="A66" s="157" t="n">
        <x:v>46213</x:v>
      </x:c>
      <x:c r="B66" s="104" t="str">
        <x:v>Marcelo Flavio Gomes</x:v>
      </x:c>
      <x:c r="C66" s="104" t="str">
        <x:v>Cardiologia</x:v>
      </x:c>
      <x:c r="D66" s="104" t="str">
        <x:v>Paciente 7</x:v>
      </x:c>
      <x:c r="E66" s="46" t="n">
        <x:v>46213.42361111111</x:v>
      </x:c>
      <x:c r="F66" s="46" t="n">
        <x:v>46213.430555555555</x:v>
      </x:c>
      <x:c r="G66" s="47" t="n">
        <x:v>0.006944444444444444</x:v>
      </x:c>
      <x:c r="H66" s="152"/>
      <x:c r="I66" s="104" t="str">
        <x:v>Não</x:v>
      </x:c>
      <x:c r="J66" s="145" t="str"/>
      <x:c r="K66" s="47" t="n">
        <x:v>0.0006944444444444445</x:v>
      </x:c>
      <x:c r="L66" s="158" t="str">
        <x:v>Marcelo_Cardio_10-07</x:v>
      </x:c>
      <x:c r="M66" s="47" t="n">
        <x:v>0.006944444444444444</x:v>
      </x:c>
      <x:c r="N66" s="278" t="n">
        <x:v>126</x:v>
      </x:c>
    </x:row>
    <x:row r="67">
      <x:c r="A67" s="157" t="n">
        <x:v>46213</x:v>
      </x:c>
      <x:c r="B67" s="104" t="str">
        <x:v>Marcelo Flavio Gomes</x:v>
      </x:c>
      <x:c r="C67" s="104" t="str">
        <x:v>Cardiologia</x:v>
      </x:c>
      <x:c r="D67" s="104" t="str">
        <x:v>Paciente 8</x:v>
      </x:c>
      <x:c r="E67" s="46" t="n">
        <x:v>46213.43125</x:v>
      </x:c>
      <x:c r="F67" s="46" t="n">
        <x:v>46213.44513888889</x:v>
      </x:c>
      <x:c r="G67" s="47" t="n">
        <x:v>0.013888888888888888</x:v>
      </x:c>
      <x:c r="H67" s="152"/>
      <x:c r="I67" s="104" t="str">
        <x:v>Não</x:v>
      </x:c>
      <x:c r="J67" s="145" t="str"/>
      <x:c r="K67" s="47" t="n">
        <x:v>0.001388888888888889</x:v>
      </x:c>
      <x:c r="L67" s="158" t="str">
        <x:v>Marcelo_Cardio_10-07</x:v>
      </x:c>
      <x:c r="M67" s="47" t="n">
        <x:v>0.013888888888888888</x:v>
      </x:c>
      <x:c r="N67" s="278" t="n">
        <x:v>137</x:v>
      </x:c>
    </x:row>
    <x:row r="68">
      <x:c r="A68" s="157" t="n">
        <x:v>46213</x:v>
      </x:c>
      <x:c r="B68" s="104" t="str">
        <x:v>Marcelo Flavio Gomes</x:v>
      </x:c>
      <x:c r="C68" s="104" t="str">
        <x:v>Cardiologia</x:v>
      </x:c>
      <x:c r="D68" s="104" t="str">
        <x:v>Paciente 9</x:v>
      </x:c>
      <x:c r="E68" s="46" t="n">
        <x:v>46213.44652777778</x:v>
      </x:c>
      <x:c r="F68" s="46" t="n">
        <x:v>46213.450694444444</x:v>
      </x:c>
      <x:c r="G68" s="47" t="n">
        <x:v>0.004166666666666667</x:v>
      </x:c>
      <x:c r="H68" s="152"/>
      <x:c r="I68" s="104" t="str">
        <x:v>Não</x:v>
      </x:c>
      <x:c r="J68" s="145" t="str"/>
      <x:c r="K68" s="47" t="n">
        <x:v>0.0020833333333333333</x:v>
      </x:c>
      <x:c r="L68" s="158" t="str">
        <x:v>Marcelo_Cardio_10-07</x:v>
      </x:c>
      <x:c r="M68" s="47" t="n">
        <x:v>0.004166666666666667</x:v>
      </x:c>
      <x:c r="N68" s="278" t="n">
        <x:v>128</x:v>
      </x:c>
    </x:row>
    <x:row r="69">
      <x:c r="A69" s="157" t="n">
        <x:v>46213</x:v>
      </x:c>
      <x:c r="B69" s="104" t="str">
        <x:v>Marcelo Flavio Gomes</x:v>
      </x:c>
      <x:c r="C69" s="104" t="str">
        <x:v>Cardiologia</x:v>
      </x:c>
      <x:c r="D69" s="104" t="str">
        <x:v>Paciente 10</x:v>
      </x:c>
      <x:c r="E69" s="46" t="n">
        <x:v>46213.45277777778</x:v>
      </x:c>
      <x:c r="F69" s="46" t="n">
        <x:v>46213.45694444444</x:v>
      </x:c>
      <x:c r="G69" s="47" t="n">
        <x:v>0.004166666666666667</x:v>
      </x:c>
      <x:c r="H69" s="152"/>
      <x:c r="I69" s="104" t="str">
        <x:v>Não</x:v>
      </x:c>
      <x:c r="J69" s="145" t="str"/>
      <x:c r="K69" s="47" t="n">
        <x:v>0</x:v>
      </x:c>
      <x:c r="L69" s="158" t="str">
        <x:v>Marcelo_Cardio_10-07</x:v>
      </x:c>
      <x:c r="M69" s="47" t="n">
        <x:v>0.004166666666666667</x:v>
      </x:c>
      <x:c r="N69" s="278" t="n">
        <x:v>106</x:v>
      </x:c>
    </x:row>
    <x:row r="70">
      <x:c r="A70" s="157" t="n">
        <x:v>46213</x:v>
      </x:c>
      <x:c r="B70" s="104" t="str">
        <x:v>Marcelo Flavio Gomes</x:v>
      </x:c>
      <x:c r="C70" s="104" t="str">
        <x:v>Cardiologia</x:v>
      </x:c>
      <x:c r="D70" s="104" t="str">
        <x:v>Paciente 11</x:v>
      </x:c>
      <x:c r="E70" s="46" t="n">
        <x:v>46213.45694444444</x:v>
      </x:c>
      <x:c r="F70" s="46" t="n">
        <x:v>46213.46111111111</x:v>
      </x:c>
      <x:c r="G70" s="47" t="n">
        <x:v>0.004166666666666667</x:v>
      </x:c>
      <x:c r="H70" s="152"/>
      <x:c r="I70" s="104" t="str">
        <x:v>Não</x:v>
      </x:c>
      <x:c r="J70" s="145" t="str"/>
      <x:c r="K70" s="47" t="n">
        <x:v>0.013888888888888888</x:v>
      </x:c>
      <x:c r="L70" s="158" t="str">
        <x:v>Marcelo_Cardio_10-07</x:v>
      </x:c>
      <x:c r="M70" s="47" t="n">
        <x:v>0.004166666666666667</x:v>
      </x:c>
      <x:c r="N70" s="278" t="n">
        <x:v>90</x:v>
      </x:c>
    </x:row>
    <x:row r="71">
      <x:c r="A71" s="157" t="n">
        <x:v>46213</x:v>
      </x:c>
      <x:c r="B71" s="104" t="str">
        <x:v>Marcelo Flavio Gomes</x:v>
      </x:c>
      <x:c r="C71" s="104" t="str">
        <x:v>Cardiologia</x:v>
      </x:c>
      <x:c r="D71" s="104" t="str">
        <x:v>Paciente 12</x:v>
      </x:c>
      <x:c r="E71" s="46" t="n">
        <x:v>46213.475</x:v>
      </x:c>
      <x:c r="F71" s="46" t="n">
        <x:v>46213.481944444444</x:v>
      </x:c>
      <x:c r="G71" s="47" t="n">
        <x:v>0.006944444444444444</x:v>
      </x:c>
      <x:c r="H71" s="152"/>
      <x:c r="I71" s="104" t="str">
        <x:v>Não</x:v>
      </x:c>
      <x:c r="J71" s="145" t="str"/>
      <x:c r="K71" s="47" t="n">
        <x:v>0.0006944444444444445</x:v>
      </x:c>
      <x:c r="L71" s="158" t="str">
        <x:v>Marcelo_Cardio_10-07</x:v>
      </x:c>
      <x:c r="M71" s="47" t="n">
        <x:v>0.006944444444444444</x:v>
      </x:c>
      <x:c r="N71" s="278" t="n">
        <x:v>200</x:v>
      </x:c>
    </x:row>
    <x:row r="72">
      <x:c r="A72" s="157" t="n">
        <x:v>46213</x:v>
      </x:c>
      <x:c r="B72" s="104" t="str">
        <x:v>Marcelo Flavio Gomes</x:v>
      </x:c>
      <x:c r="C72" s="104" t="str">
        <x:v>Cardiologia</x:v>
      </x:c>
      <x:c r="D72" s="104" t="str">
        <x:v>Paciente 13</x:v>
      </x:c>
      <x:c r="E72" s="46" t="n">
        <x:v>46213.48263888889</x:v>
      </x:c>
      <x:c r="F72" s="46" t="n">
        <x:v>46213.49166666667</x:v>
      </x:c>
      <x:c r="G72" s="47" t="n">
        <x:v>0.009027777777777777</x:v>
      </x:c>
      <x:c r="H72" s="152"/>
      <x:c r="I72" s="104" t="str">
        <x:v>Não</x:v>
      </x:c>
      <x:c r="J72" s="145" t="str"/>
      <x:c r="K72" s="47" t="n">
        <x:v>0.002777777777777778</x:v>
      </x:c>
      <x:c r="L72" s="158" t="str">
        <x:v>Marcelo_Cardio_10-07</x:v>
      </x:c>
      <x:c r="M72" s="47" t="n">
        <x:v>0.009027777777777777</x:v>
      </x:c>
      <x:c r="N72" s="278" t="n">
        <x:v>211</x:v>
      </x:c>
    </x:row>
    <x:row r="73">
      <x:c r="A73" s="157" t="n">
        <x:v>46213</x:v>
      </x:c>
      <x:c r="B73" s="104" t="str">
        <x:v>Marcelo Flavio Gomes</x:v>
      </x:c>
      <x:c r="C73" s="104" t="str">
        <x:v>Cardiologia</x:v>
      </x:c>
      <x:c r="D73" s="104" t="str">
        <x:v>Paciente 14</x:v>
      </x:c>
      <x:c r="E73" s="46" t="n">
        <x:v>46213.49444444444</x:v>
      </x:c>
      <x:c r="F73" s="46" t="n">
        <x:v>46213.501388888886</x:v>
      </x:c>
      <x:c r="G73" s="47" t="n">
        <x:v>0.006944444444444444</x:v>
      </x:c>
      <x:c r="H73" s="152"/>
      <x:c r="I73" s="104" t="str">
        <x:v>Não</x:v>
      </x:c>
      <x:c r="J73" s="145" t="str"/>
      <x:c r="K73" s="47" t="n">
        <x:v>0.001388888888888889</x:v>
      </x:c>
      <x:c r="L73" s="158" t="str">
        <x:v>Marcelo_Cardio_10-07</x:v>
      </x:c>
      <x:c r="M73" s="47" t="n">
        <x:v>0.006944444444444444</x:v>
      </x:c>
      <x:c r="N73" s="278" t="n">
        <x:v>110</x:v>
      </x:c>
    </x:row>
    <x:row r="74">
      <x:c r="A74" s="157" t="n">
        <x:v>46213</x:v>
      </x:c>
      <x:c r="B74" s="104" t="str">
        <x:v>Marcelo Flavio Gomes</x:v>
      </x:c>
      <x:c r="C74" s="104" t="str">
        <x:v>Cardiologia</x:v>
      </x:c>
      <x:c r="D74" s="104" t="str">
        <x:v>Paciente 15</x:v>
      </x:c>
      <x:c r="E74" s="46" t="n">
        <x:v>46213.50277777778</x:v>
      </x:c>
      <x:c r="F74" s="46" t="n">
        <x:v>46213.504166666666</x:v>
      </x:c>
      <x:c r="G74" s="47" t="n">
        <x:v>0.001388888888888889</x:v>
      </x:c>
      <x:c r="H74" s="152"/>
      <x:c r="I74" s="104" t="str">
        <x:v>Não</x:v>
      </x:c>
      <x:c r="J74" s="145" t="str"/>
      <x:c r="K74" s="47" t="n">
        <x:v>0.014583333333333334</x:v>
      </x:c>
      <x:c r="L74" s="158" t="str">
        <x:v>Marcelo_Cardio_10-07</x:v>
      </x:c>
      <x:c r="M74" s="47" t="n">
        <x:v>0.001388888888888889</x:v>
      </x:c>
      <x:c r="N74" s="278" t="n">
        <x:v>240</x:v>
      </x:c>
    </x:row>
    <x:row r="75">
      <x:c r="A75" s="157" t="n">
        <x:v>46213</x:v>
      </x:c>
      <x:c r="B75" s="104" t="str">
        <x:v>Marcelo Flavio Gomes</x:v>
      </x:c>
      <x:c r="C75" s="104" t="str">
        <x:v>Cardiologia</x:v>
      </x:c>
      <x:c r="D75" s="104" t="str">
        <x:v>Paciente 16</x:v>
      </x:c>
      <x:c r="E75" s="46" t="n">
        <x:v>46213.51875</x:v>
      </x:c>
      <x:c r="F75" s="46" t="n">
        <x:v>46213.52222222222</x:v>
      </x:c>
      <x:c r="G75" s="47" t="n">
        <x:v>0.003472222222222222</x:v>
      </x:c>
      <x:c r="H75" s="152"/>
      <x:c r="I75" s="104" t="str">
        <x:v>Não</x:v>
      </x:c>
      <x:c r="J75" s="145" t="str"/>
      <x:c r="K75" s="47" t="n">
        <x:v>0.0020833333333333333</x:v>
      </x:c>
      <x:c r="L75" s="158" t="str">
        <x:v>Marcelo_Cardio_10-07</x:v>
      </x:c>
      <x:c r="M75" s="47" t="n">
        <x:v>0.003472222222222222</x:v>
      </x:c>
      <x:c r="N75" s="278" t="n">
        <x:v>116</x:v>
      </x:c>
    </x:row>
    <x:row r="76">
      <x:c r="A76" s="157" t="n">
        <x:v>46213</x:v>
      </x:c>
      <x:c r="B76" s="104" t="str">
        <x:v>Marcelo Flavio Gomes</x:v>
      </x:c>
      <x:c r="C76" s="104" t="str">
        <x:v>Cardiologia</x:v>
      </x:c>
      <x:c r="D76" s="104" t="str">
        <x:v>Paciente 17</x:v>
      </x:c>
      <x:c r="E76" s="46" t="n">
        <x:v>46213.524305555555</x:v>
      </x:c>
      <x:c r="F76" s="46" t="n">
        <x:v>46213.53472222222</x:v>
      </x:c>
      <x:c r="G76" s="47" t="n">
        <x:v>0.010416666666666666</x:v>
      </x:c>
      <x:c r="H76" s="152"/>
      <x:c r="I76" s="104" t="str">
        <x:v>Não</x:v>
      </x:c>
      <x:c r="J76" s="145" t="str"/>
      <x:c r="K76" s="47" t="n">
        <x:v>0.0006944444444444445</x:v>
      </x:c>
      <x:c r="L76" s="158" t="str">
        <x:v>Marcelo_Cardio_10-07</x:v>
      </x:c>
      <x:c r="M76" s="47" t="n">
        <x:v>0.010416666666666666</x:v>
      </x:c>
      <x:c r="N76" s="278" t="n">
        <x:v>145</x:v>
      </x:c>
    </x:row>
    <x:row r="77">
      <x:c r="A77" s="157" t="n">
        <x:v>46213</x:v>
      </x:c>
      <x:c r="B77" s="104" t="str">
        <x:v>Marcelo Flavio Gomes</x:v>
      </x:c>
      <x:c r="C77" s="104" t="str">
        <x:v>Cardiologia</x:v>
      </x:c>
      <x:c r="D77" s="104" t="str">
        <x:v>Paciente 18</x:v>
      </x:c>
      <x:c r="E77" s="46" t="n">
        <x:v>46213.535416666666</x:v>
      </x:c>
      <x:c r="F77" s="46" t="n">
        <x:v>46213.55416666667</x:v>
      </x:c>
      <x:c r="G77" s="47" t="n">
        <x:v>0.01875</x:v>
      </x:c>
      <x:c r="H77" s="152"/>
      <x:c r="I77" s="104" t="str">
        <x:v>Não</x:v>
      </x:c>
      <x:c r="J77" s="145" t="str"/>
      <x:c r="K77" s="47" t="n">
        <x:v>0</x:v>
      </x:c>
      <x:c r="L77" s="158" t="str">
        <x:v>Marcelo_Cardio_10-07</x:v>
      </x:c>
      <x:c r="M77" s="47" t="n">
        <x:v>0.01875</x:v>
      </x:c>
      <x:c r="N77" s="278" t="n">
        <x:v>111</x:v>
      </x:c>
    </x:row>
    <x:row r="78" ht="28.5">
      <x:c r="A78" s="157" t="n">
        <x:v>46213</x:v>
      </x:c>
      <x:c r="B78" s="104" t="str">
        <x:v>Marcelo Flavio Gomes</x:v>
      </x:c>
      <x:c r="C78" s="104" t="str">
        <x:v>Cardiologia</x:v>
      </x:c>
      <x:c r="D78" s="104" t="str">
        <x:v>Paciente 19</x:v>
      </x:c>
      <x:c r="E78" s="46" t="n">
        <x:v>46213.55416666667</x:v>
      </x:c>
      <x:c r="F78" s="46" t="n">
        <x:v>46213.56041666667</x:v>
      </x:c>
      <x:c r="G78" s="47" t="n">
        <x:v>0.00625</x:v>
      </x:c>
      <x:c r="H78" s="152"/>
      <x:c r="I78" s="104" t="str">
        <x:v>Não</x:v>
      </x:c>
      <x:c r="J78" s="145" t="str"/>
      <x:c r="K78" s="47" t="n">
        <x:v>0.0006944444444444445</x:v>
      </x:c>
      <x:c r="L78" s="158" t="str">
        <x:v>Marcelo_Cardio_10-07</x:v>
      </x:c>
      <x:c r="M78" s="47" t="n">
        <x:v>0.00625</x:v>
      </x:c>
      <x:c r="N78" s="278" t="n">
        <x:v>134</x:v>
      </x:c>
    </x:row>
    <x:row r="79">
      <x:c r="A79" s="157" t="n">
        <x:v>46213</x:v>
      </x:c>
      <x:c r="B79" s="104" t="str">
        <x:v>Marcelo Flavio Gomes</x:v>
      </x:c>
      <x:c r="C79" s="104" t="str">
        <x:v>Cardiologia</x:v>
      </x:c>
      <x:c r="D79" s="104" t="str">
        <x:v>Paciente 20</x:v>
      </x:c>
      <x:c r="E79" s="46" t="n">
        <x:v>46213.561111111114</x:v>
      </x:c>
      <x:c r="F79" s="46" t="n">
        <x:v>46213.566666666666</x:v>
      </x:c>
      <x:c r="G79" s="47" t="n">
        <x:v>0.005555555555555556</x:v>
      </x:c>
      <x:c r="H79" s="152"/>
      <x:c r="I79" s="104" t="str">
        <x:v>Não</x:v>
      </x:c>
      <x:c r="J79" s="145" t="str"/>
      <x:c r="K79" s="47" t="n">
        <x:v>0</x:v>
      </x:c>
      <x:c r="L79" s="158" t="str">
        <x:v>Marcelo_Cardio_10-07</x:v>
      </x:c>
      <x:c r="M79" s="47" t="n">
        <x:v>0.005555555555555556</x:v>
      </x:c>
      <x:c r="N79" s="278" t="n">
        <x:v>151</x:v>
      </x:c>
    </x:row>
    <x:row r="80">
      <x:c r="A80" s="157" t="n">
        <x:v>46213</x:v>
      </x:c>
      <x:c r="B80" s="104" t="str">
        <x:v>Marcelo Flavio Gomes</x:v>
      </x:c>
      <x:c r="C80" s="104" t="str">
        <x:v>Cardiologia</x:v>
      </x:c>
      <x:c r="D80" s="104" t="str">
        <x:v>Paciente 21</x:v>
      </x:c>
      <x:c r="E80" s="46" t="n">
        <x:v>46213.566666666666</x:v>
      </x:c>
      <x:c r="F80" s="46" t="n">
        <x:v>46213.57361111111</x:v>
      </x:c>
      <x:c r="G80" s="47" t="n">
        <x:v>0.006944444444444444</x:v>
      </x:c>
      <x:c r="H80" s="152"/>
      <x:c r="I80" s="104" t="str">
        <x:v>Não</x:v>
      </x:c>
      <x:c r="J80" s="145" t="str"/>
      <x:c r="K80" s="47" t="n">
        <x:v>0.006944444444444444</x:v>
      </x:c>
      <x:c r="L80" s="158" t="str">
        <x:v>Marcelo_Cardio_10-07</x:v>
      </x:c>
      <x:c r="M80" s="47" t="n">
        <x:v>0.006944444444444444</x:v>
      </x:c>
      <x:c r="N80" s="278" t="n">
        <x:v>332</x:v>
      </x:c>
    </x:row>
    <x:row r="81">
      <x:c r="A81" s="157" t="n">
        <x:v>46213</x:v>
      </x:c>
      <x:c r="B81" s="104" t="str">
        <x:v>Marcelo Flavio Gomes</x:v>
      </x:c>
      <x:c r="C81" s="104" t="str">
        <x:v>Cardiologia</x:v>
      </x:c>
      <x:c r="D81" s="104" t="str">
        <x:v>Paciente 22</x:v>
      </x:c>
      <x:c r="E81" s="46" t="n">
        <x:v>46213.580555555556</x:v>
      </x:c>
      <x:c r="F81" s="46" t="n">
        <x:v>46213.58541666667</x:v>
      </x:c>
      <x:c r="G81" s="47" t="n">
        <x:v>0.004861111111111111</x:v>
      </x:c>
      <x:c r="H81" s="152"/>
      <x:c r="I81" s="104" t="str">
        <x:v>Não</x:v>
      </x:c>
      <x:c r="J81" s="145" t="str"/>
      <x:c r="K81" s="47" t="n">
        <x:v>0.0006944444444444445</x:v>
      </x:c>
      <x:c r="L81" s="158" t="str">
        <x:v>Marcelo_Cardio_10-07</x:v>
      </x:c>
      <x:c r="M81" s="47" t="n">
        <x:v>0.004861111111111111</x:v>
      </x:c>
      <x:c r="N81" s="278" t="n">
        <x:v>107</x:v>
      </x:c>
    </x:row>
    <x:row r="82">
      <x:c r="A82" s="157" t="n">
        <x:v>46213</x:v>
      </x:c>
      <x:c r="B82" s="104" t="str">
        <x:v>Marcelo Flavio Gomes</x:v>
      </x:c>
      <x:c r="C82" s="104" t="str">
        <x:v>Cardiologia</x:v>
      </x:c>
      <x:c r="D82" s="104" t="str">
        <x:v>Paciente 23</x:v>
      </x:c>
      <x:c r="E82" s="46" t="n">
        <x:v>46213.58611111111</x:v>
      </x:c>
      <x:c r="F82" s="46" t="n">
        <x:v>46213.59166666667</x:v>
      </x:c>
      <x:c r="G82" s="47" t="n">
        <x:v>0.005555555555555556</x:v>
      </x:c>
      <x:c r="H82" s="152"/>
      <x:c r="I82" s="104" t="str">
        <x:v>Não</x:v>
      </x:c>
      <x:c r="J82" s="145" t="str"/>
      <x:c r="K82" s="47" t="n">
        <x:v>0.0006944444444444445</x:v>
      </x:c>
      <x:c r="L82" s="158" t="str">
        <x:v>Marcelo_Cardio_10-07</x:v>
      </x:c>
      <x:c r="M82" s="47" t="n">
        <x:v>0.005555555555555556</x:v>
      </x:c>
      <x:c r="N82" s="278" t="n">
        <x:v>98</x:v>
      </x:c>
    </x:row>
    <x:row r="83">
      <x:c r="A83" s="157" t="n">
        <x:v>46213</x:v>
      </x:c>
      <x:c r="B83" s="104" t="str">
        <x:v>Marcelo Flavio Gomes</x:v>
      </x:c>
      <x:c r="C83" s="104" t="str">
        <x:v>Cardiologia</x:v>
      </x:c>
      <x:c r="D83" s="104" t="str">
        <x:v>Paciente 24</x:v>
      </x:c>
      <x:c r="E83" s="46" t="n">
        <x:v>46213.592361111114</x:v>
      </x:c>
      <x:c r="F83" s="46" t="n">
        <x:v>46213.600694444445</x:v>
      </x:c>
      <x:c r="G83" s="47" t="n">
        <x:v>0.008333333333333333</x:v>
      </x:c>
      <x:c r="H83" s="152"/>
      <x:c r="I83" s="104" t="str">
        <x:v>Não</x:v>
      </x:c>
      <x:c r="J83" s="145" t="str"/>
      <x:c r="K83" s="47" t="n">
        <x:v>0.0006944444444444445</x:v>
      </x:c>
      <x:c r="L83" s="158" t="str">
        <x:v>Marcelo_Cardio_10-07</x:v>
      </x:c>
      <x:c r="M83" s="47" t="n">
        <x:v>0.008333333333333333</x:v>
      </x:c>
      <x:c r="N83" s="278" t="n">
        <x:v>76</x:v>
      </x:c>
    </x:row>
    <x:row r="84">
      <x:c r="A84" s="157" t="n">
        <x:v>46213</x:v>
      </x:c>
      <x:c r="B84" s="104" t="str">
        <x:v>Marcelo Flavio Gomes</x:v>
      </x:c>
      <x:c r="C84" s="104" t="str">
        <x:v>Cardiologia</x:v>
      </x:c>
      <x:c r="D84" s="104" t="str">
        <x:v>Paciente 25</x:v>
      </x:c>
      <x:c r="E84" s="46" t="n">
        <x:v>46213.60138888889</x:v>
      </x:c>
      <x:c r="F84" s="46" t="n">
        <x:v>46213.60486111111</x:v>
      </x:c>
      <x:c r="G84" s="47" t="n">
        <x:v>0.003472222222222222</x:v>
      </x:c>
      <x:c r="H84" s="152"/>
      <x:c r="I84" s="104" t="str">
        <x:v>Não</x:v>
      </x:c>
      <x:c r="J84" s="145" t="str"/>
      <x:c r="K84" s="47" t="n">
        <x:v>0.009722222222222222</x:v>
      </x:c>
      <x:c r="L84" s="158" t="str">
        <x:v>Marcelo_Cardio_10-07</x:v>
      </x:c>
      <x:c r="M84" s="47" t="n">
        <x:v>0.003472222222222222</x:v>
      </x:c>
      <x:c r="N84" s="278" t="n">
        <x:v>47</x:v>
      </x:c>
    </x:row>
    <x:row r="85">
      <x:c r="A85" s="157" t="n">
        <x:v>46213</x:v>
      </x:c>
      <x:c r="B85" s="104" t="str">
        <x:v>Marcelo Flavio Gomes</x:v>
      </x:c>
      <x:c r="C85" s="104" t="str">
        <x:v>Cardiologia</x:v>
      </x:c>
      <x:c r="D85" s="104" t="str">
        <x:v>Paciente 26</x:v>
      </x:c>
      <x:c r="E85" s="46" t="n">
        <x:v>46213.614583333336</x:v>
      </x:c>
      <x:c r="F85" s="46" t="n">
        <x:v>46213.62152777778</x:v>
      </x:c>
      <x:c r="G85" s="47" t="n">
        <x:v>0.006944444444444444</x:v>
      </x:c>
      <x:c r="H85" s="152"/>
      <x:c r="I85" s="104" t="str">
        <x:v>Não</x:v>
      </x:c>
      <x:c r="J85" s="145" t="str"/>
      <x:c r="K85" s="47" t="n">
        <x:v>0.0006944444444444445</x:v>
      </x:c>
      <x:c r="L85" s="158" t="str">
        <x:v>Marcelo_Cardio_10-07</x:v>
      </x:c>
      <x:c r="M85" s="47" t="n">
        <x:v>0.006944444444444444</x:v>
      </x:c>
      <x:c r="N85" s="278" t="n">
        <x:v>40</x:v>
      </x:c>
    </x:row>
    <x:row r="86">
      <x:c r="A86" s="157" t="n">
        <x:v>46213</x:v>
      </x:c>
      <x:c r="B86" s="104" t="str">
        <x:v>Marcelo Flavio Gomes</x:v>
      </x:c>
      <x:c r="C86" s="104" t="str">
        <x:v>Cardiologia</x:v>
      </x:c>
      <x:c r="D86" s="104" t="str">
        <x:v>Paciente 27</x:v>
      </x:c>
      <x:c r="E86" s="46" t="n">
        <x:v>46213.62222222222</x:v>
      </x:c>
      <x:c r="F86" s="46" t="n">
        <x:v>46213.62708333333</x:v>
      </x:c>
      <x:c r="G86" s="47" t="n">
        <x:v>0.004861111111111111</x:v>
      </x:c>
      <x:c r="H86" s="152"/>
      <x:c r="I86" s="104" t="str">
        <x:v>Não</x:v>
      </x:c>
      <x:c r="J86" s="145" t="str"/>
      <x:c r="K86" s="47" t="n">
        <x:v>0.001388888888888889</x:v>
      </x:c>
      <x:c r="L86" s="158" t="str">
        <x:v>Marcelo_Cardio_10-07</x:v>
      </x:c>
      <x:c r="M86" s="47" t="n">
        <x:v>0.004861111111111111</x:v>
      </x:c>
      <x:c r="N86" s="278" t="n">
        <x:v>100</x:v>
      </x:c>
    </x:row>
    <x:row r="87">
      <x:c r="A87" s="157" t="n">
        <x:v>46213</x:v>
      </x:c>
      <x:c r="B87" s="104" t="str">
        <x:v>Marcelo Flavio Gomes</x:v>
      </x:c>
      <x:c r="C87" s="104" t="str">
        <x:v>Cardiologia</x:v>
      </x:c>
      <x:c r="D87" s="104" t="str">
        <x:v>Paciente 28</x:v>
      </x:c>
      <x:c r="E87" s="46" t="n">
        <x:v>46213.62847222222</x:v>
      </x:c>
      <x:c r="F87" s="46" t="n">
        <x:v>46213.63263888889</x:v>
      </x:c>
      <x:c r="G87" s="47" t="n">
        <x:v>0.004166666666666667</x:v>
      </x:c>
      <x:c r="H87" s="152"/>
      <x:c r="I87" s="104" t="str">
        <x:v>Não</x:v>
      </x:c>
      <x:c r="J87" s="145" t="str"/>
      <x:c r="K87" s="47" t="n">
        <x:v>0.004861111111111111</x:v>
      </x:c>
      <x:c r="L87" s="158" t="str">
        <x:v>Marcelo_Cardio_10-07</x:v>
      </x:c>
      <x:c r="M87" s="47" t="n">
        <x:v>0.004166666666666667</x:v>
      </x:c>
      <x:c r="N87" s="278" t="n">
        <x:v>104</x:v>
      </x:c>
    </x:row>
    <x:row r="88">
      <x:c r="A88" s="157" t="n">
        <x:v>46213</x:v>
      </x:c>
      <x:c r="B88" s="104" t="str">
        <x:v>Marcelo Flavio Gomes</x:v>
      </x:c>
      <x:c r="C88" s="104" t="str">
        <x:v>Cardiologia</x:v>
      </x:c>
      <x:c r="D88" s="104" t="str">
        <x:v>Paciente 29</x:v>
      </x:c>
      <x:c r="E88" s="46" t="n">
        <x:v>46213.6375</x:v>
      </x:c>
      <x:c r="F88" s="46" t="n">
        <x:v>46213.65555555555</x:v>
      </x:c>
      <x:c r="G88" s="47" t="n">
        <x:v>0.018055555555555554</x:v>
      </x:c>
      <x:c r="H88" s="152"/>
      <x:c r="I88" s="104" t="str">
        <x:v>Não</x:v>
      </x:c>
      <x:c r="J88" s="145" t="str"/>
      <x:c r="K88" s="47" t="n">
        <x:v>0.0006944444444444445</x:v>
      </x:c>
      <x:c r="L88" s="158" t="str">
        <x:v>Marcelo_Cardio_10-07</x:v>
      </x:c>
      <x:c r="M88" s="47" t="n">
        <x:v>0.018055555555555554</x:v>
      </x:c>
      <x:c r="N88" s="278" t="n">
        <x:v>41</x:v>
      </x:c>
    </x:row>
    <x:row r="89">
      <x:c r="A89" s="157" t="n">
        <x:v>46213</x:v>
      </x:c>
      <x:c r="B89" s="104" t="str">
        <x:v>Marcelo Flavio Gomes</x:v>
      </x:c>
      <x:c r="C89" s="104" t="str">
        <x:v>Cardiologia</x:v>
      </x:c>
      <x:c r="D89" s="104" t="str">
        <x:v>Paciente 30</x:v>
      </x:c>
      <x:c r="E89" s="46" t="n">
        <x:v>46213.65625</x:v>
      </x:c>
      <x:c r="F89" s="46" t="n">
        <x:v>46213.66875</x:v>
      </x:c>
      <x:c r="G89" s="47" t="n">
        <x:v>0.0125</x:v>
      </x:c>
      <x:c r="H89" s="152"/>
      <x:c r="I89" s="104" t="str">
        <x:v>Não</x:v>
      </x:c>
      <x:c r="J89" s="145" t="str"/>
      <x:c r="K89" s="47" t="n">
        <x:v>0.001388888888888889</x:v>
      </x:c>
      <x:c r="L89" s="158" t="str">
        <x:v>Marcelo_Cardio_10-07</x:v>
      </x:c>
      <x:c r="M89" s="47" t="n">
        <x:v>0.0125</x:v>
      </x:c>
      <x:c r="N89" s="278" t="n">
        <x:v>69</x:v>
      </x:c>
    </x:row>
    <x:row r="90">
      <x:c r="A90" s="157" t="n">
        <x:v>46213</x:v>
      </x:c>
      <x:c r="B90" s="104" t="str">
        <x:v>Marcelo Flavio Gomes</x:v>
      </x:c>
      <x:c r="C90" s="104" t="str">
        <x:v>Cardiologia</x:v>
      </x:c>
      <x:c r="D90" s="104" t="str">
        <x:v>Paciente 31</x:v>
      </x:c>
      <x:c r="E90" s="46" t="n">
        <x:v>46213.67013888889</x:v>
      </x:c>
      <x:c r="F90" s="46" t="n">
        <x:v>46213.677083333336</x:v>
      </x:c>
      <x:c r="G90" s="47" t="n">
        <x:v>0.006944444444444444</x:v>
      </x:c>
      <x:c r="H90" s="152"/>
      <x:c r="I90" s="104" t="str">
        <x:v>Não</x:v>
      </x:c>
      <x:c r="J90" s="145" t="str"/>
      <x:c r="K90" s="47" t="n">
        <x:v>0.0006944444444444445</x:v>
      </x:c>
      <x:c r="L90" s="158" t="str">
        <x:v>Marcelo_Cardio_10-07</x:v>
      </x:c>
      <x:c r="M90" s="47" t="n">
        <x:v>0.006944444444444444</x:v>
      </x:c>
      <x:c r="N90" s="278" t="n">
        <x:v>87</x:v>
      </x:c>
    </x:row>
    <x:row r="91">
      <x:c r="A91" s="157" t="n">
        <x:v>46213</x:v>
      </x:c>
      <x:c r="B91" s="104" t="str">
        <x:v>Marcelo Flavio Gomes</x:v>
      </x:c>
      <x:c r="C91" s="104" t="str">
        <x:v>Cardiologia</x:v>
      </x:c>
      <x:c r="D91" s="104" t="str">
        <x:v>Paciente 32</x:v>
      </x:c>
      <x:c r="E91" s="46" t="n">
        <x:v>46213.677777777775</x:v>
      </x:c>
      <x:c r="F91" s="46" t="n">
        <x:v>46213.69861111111</x:v>
      </x:c>
      <x:c r="G91" s="47" t="n">
        <x:v>0.020833333333333332</x:v>
      </x:c>
      <x:c r="H91" s="152"/>
      <x:c r="I91" s="104" t="str">
        <x:v>Não</x:v>
      </x:c>
      <x:c r="J91" s="145" t="str"/>
      <x:c r="K91" s="47" t="n">
        <x:v>0.0006944444444444445</x:v>
      </x:c>
      <x:c r="L91" s="158" t="str">
        <x:v>Marcelo_Cardio_10-07</x:v>
      </x:c>
      <x:c r="M91" s="47" t="n">
        <x:v>0.020833333333333332</x:v>
      </x:c>
      <x:c r="N91" s="278" t="n">
        <x:v>93</x:v>
      </x:c>
    </x:row>
    <x:row r="92">
      <x:c r="A92" s="157" t="n">
        <x:v>46213</x:v>
      </x:c>
      <x:c r="B92" s="104" t="str">
        <x:v>Marcelo Flavio Gomes</x:v>
      </x:c>
      <x:c r="C92" s="104" t="str">
        <x:v>Cardiologia</x:v>
      </x:c>
      <x:c r="D92" s="104" t="str">
        <x:v>Paciente 33</x:v>
      </x:c>
      <x:c r="E92" s="46" t="n">
        <x:v>46213.69930555556</x:v>
      </x:c>
      <x:c r="F92" s="46" t="n">
        <x:v>46213.70763888889</x:v>
      </x:c>
      <x:c r="G92" s="47" t="n">
        <x:v>0.008333333333333333</x:v>
      </x:c>
      <x:c r="H92" s="152"/>
      <x:c r="I92" s="104" t="str">
        <x:v>Não</x:v>
      </x:c>
      <x:c r="J92" s="145" t="str"/>
      <x:c r="K92" s="47" t="n">
        <x:v>0.0006944444444444445</x:v>
      </x:c>
      <x:c r="L92" s="158" t="str">
        <x:v>Marcelo_Cardio_10-07</x:v>
      </x:c>
      <x:c r="M92" s="47" t="n">
        <x:v>0.008333333333333333</x:v>
      </x:c>
      <x:c r="N92" s="278" t="n">
        <x:v>110</x:v>
      </x:c>
    </x:row>
    <x:row r="93">
      <x:c r="A93" s="157" t="n">
        <x:v>46213</x:v>
      </x:c>
      <x:c r="B93" s="104" t="str">
        <x:v>Marcelo Flavio Gomes</x:v>
      </x:c>
      <x:c r="C93" s="104" t="str">
        <x:v>Cardiologia</x:v>
      </x:c>
      <x:c r="D93" s="104" t="str">
        <x:v>Paciente 34</x:v>
      </x:c>
      <x:c r="E93" s="46" t="n">
        <x:v>46213.708333333336</x:v>
      </x:c>
      <x:c r="F93" s="46" t="n">
        <x:v>46213.71875</x:v>
      </x:c>
      <x:c r="G93" s="47" t="n">
        <x:v>0.010416666666666666</x:v>
      </x:c>
      <x:c r="H93" s="152"/>
      <x:c r="I93" s="104" t="str">
        <x:v>Não</x:v>
      </x:c>
      <x:c r="J93" s="145" t="str"/>
      <x:c r="K93" s="47" t="n">
        <x:v>0.0006944444444444445</x:v>
      </x:c>
      <x:c r="L93" s="158" t="str">
        <x:v>Marcelo_Cardio_10-07</x:v>
      </x:c>
      <x:c r="M93" s="47" t="n">
        <x:v>0.010416666666666666</x:v>
      </x:c>
      <x:c r="N93" s="278" t="n">
        <x:v>122</x:v>
      </x:c>
    </x:row>
    <x:row r="94">
      <x:c r="A94" s="157" t="n">
        <x:v>46213</x:v>
      </x:c>
      <x:c r="B94" s="104" t="str">
        <x:v>Marcelo Flavio Gomes</x:v>
      </x:c>
      <x:c r="C94" s="104" t="str">
        <x:v>Cardiologia</x:v>
      </x:c>
      <x:c r="D94" s="104" t="str">
        <x:v>Paciente 35</x:v>
      </x:c>
      <x:c r="E94" s="46" t="n">
        <x:v>46213.71944444445</x:v>
      </x:c>
      <x:c r="F94" s="46" t="n">
        <x:v>46213.72222222222</x:v>
      </x:c>
      <x:c r="G94" s="47" t="n">
        <x:v>0.002777777777777778</x:v>
      </x:c>
      <x:c r="H94" s="152"/>
      <x:c r="I94" s="104" t="str">
        <x:v>Não</x:v>
      </x:c>
      <x:c r="J94" s="145" t="str"/>
      <x:c r="K94" s="47" t="n">
        <x:v>0</x:v>
      </x:c>
      <x:c r="L94" s="158" t="str">
        <x:v>Marcelo_Cardio_10-07</x:v>
      </x:c>
      <x:c r="M94" s="47" t="n">
        <x:v>0.002777777777777778</x:v>
      </x:c>
      <x:c r="N94" s="278" t="n">
        <x:v>235</x:v>
      </x:c>
    </x:row>
    <x:row r="95">
      <x:c r="A95" s="157" t="n">
        <x:v>46213</x:v>
      </x:c>
      <x:c r="B95" s="104" t="str">
        <x:v>Marcelo Flavio Gomes</x:v>
      </x:c>
      <x:c r="C95" s="104" t="str">
        <x:v>Cardiologia</x:v>
      </x:c>
      <x:c r="D95" s="104" t="str">
        <x:v>Paciente 36</x:v>
      </x:c>
      <x:c r="E95" s="46" t="n">
        <x:v>46213.72222222222</x:v>
      </x:c>
      <x:c r="F95" s="46" t="n">
        <x:v>46213.73125</x:v>
      </x:c>
      <x:c r="G95" s="47" t="n">
        <x:v>0.009027777777777777</x:v>
      </x:c>
      <x:c r="H95" s="152"/>
      <x:c r="I95" s="104" t="str">
        <x:v>Não</x:v>
      </x:c>
      <x:c r="J95" s="145" t="str"/>
      <x:c r="K95" s="47" t="n">
        <x:v>0.001388888888888889</x:v>
      </x:c>
      <x:c r="L95" s="158" t="str">
        <x:v>Marcelo_Cardio_10-07</x:v>
      </x:c>
      <x:c r="M95" s="47" t="n">
        <x:v>0.009027777777777777</x:v>
      </x:c>
      <x:c r="N95" s="278" t="n">
        <x:v>87</x:v>
      </x:c>
    </x:row>
    <x:row r="96">
      <x:c r="A96" s="157" t="n">
        <x:v>46213</x:v>
      </x:c>
      <x:c r="B96" s="104" t="str">
        <x:v>Marcelo Flavio Gomes</x:v>
      </x:c>
      <x:c r="C96" s="104" t="str">
        <x:v>Cardiologia</x:v>
      </x:c>
      <x:c r="D96" s="104" t="str">
        <x:v>Paciente 37</x:v>
      </x:c>
      <x:c r="E96" s="46" t="n">
        <x:v>46213.73263888889</x:v>
      </x:c>
      <x:c r="F96" s="46" t="n">
        <x:v>46213.7375</x:v>
      </x:c>
      <x:c r="G96" s="47" t="n">
        <x:v>0.004861111111111111</x:v>
      </x:c>
      <x:c r="H96" s="152"/>
      <x:c r="I96" s="104" t="str">
        <x:v>Não</x:v>
      </x:c>
      <x:c r="J96" s="145" t="str"/>
      <x:c r="K96" s="47" t="n">
        <x:v>0.0006944444444444445</x:v>
      </x:c>
      <x:c r="L96" s="158" t="str">
        <x:v>Marcelo_Cardio_10-07</x:v>
      </x:c>
      <x:c r="M96" s="47" t="n">
        <x:v>0.004861111111111111</x:v>
      </x:c>
      <x:c r="N96" s="278" t="n">
        <x:v>97</x:v>
      </x:c>
    </x:row>
    <x:row r="97">
      <x:c r="A97" s="157" t="n">
        <x:v>46213</x:v>
      </x:c>
      <x:c r="B97" s="104" t="str">
        <x:v>Marcelo Flavio Gomes</x:v>
      </x:c>
      <x:c r="C97" s="104" t="str">
        <x:v>Cardiologia</x:v>
      </x:c>
      <x:c r="D97" s="104" t="str">
        <x:v>Paciente 38</x:v>
      </x:c>
      <x:c r="E97" s="46" t="n">
        <x:v>46213.73819444444</x:v>
      </x:c>
      <x:c r="F97" s="46" t="n">
        <x:v>46213.74097222222</x:v>
      </x:c>
      <x:c r="G97" s="47" t="n">
        <x:v>0.002777777777777778</x:v>
      </x:c>
      <x:c r="H97" s="152"/>
      <x:c r="I97" s="104" t="str">
        <x:v>Não</x:v>
      </x:c>
      <x:c r="J97" s="145" t="str"/>
      <x:c r="K97" s="47" t="n">
        <x:v>0.0006944444444444445</x:v>
      </x:c>
      <x:c r="L97" s="158" t="str">
        <x:v>Marcelo_Cardio_10-07</x:v>
      </x:c>
      <x:c r="M97" s="47" t="n">
        <x:v>0.002777777777777778</x:v>
      </x:c>
      <x:c r="N97" s="278" t="n">
        <x:v>123</x:v>
      </x:c>
    </x:row>
    <x:row r="98">
      <x:c r="A98" s="157" t="n">
        <x:v>46213</x:v>
      </x:c>
      <x:c r="B98" s="104" t="str">
        <x:v>Marcelo Flavio Gomes</x:v>
      </x:c>
      <x:c r="C98" s="104" t="str">
        <x:v>Cardiologia</x:v>
      </x:c>
      <x:c r="D98" s="104" t="str">
        <x:v>Paciente 39</x:v>
      </x:c>
      <x:c r="E98" s="46" t="n">
        <x:v>46213.74166666667</x:v>
      </x:c>
      <x:c r="F98" s="46" t="n">
        <x:v>46213.74652777778</x:v>
      </x:c>
      <x:c r="G98" s="47" t="n">
        <x:v>0.004861111111111111</x:v>
      </x:c>
      <x:c r="H98" s="152"/>
      <x:c r="I98" s="104" t="str">
        <x:v>Não</x:v>
      </x:c>
      <x:c r="J98" s="145" t="str"/>
      <x:c r="K98" s="47" t="n">
        <x:v>0.0006944444444444445</x:v>
      </x:c>
      <x:c r="L98" s="158" t="str">
        <x:v>Marcelo_Cardio_10-07</x:v>
      </x:c>
      <x:c r="M98" s="47" t="n">
        <x:v>0.004861111111111111</x:v>
      </x:c>
      <x:c r="N98" s="278" t="n">
        <x:v>267</x:v>
      </x:c>
    </x:row>
    <x:row r="99">
      <x:c r="A99" s="157" t="n">
        <x:v>46213</x:v>
      </x:c>
      <x:c r="B99" s="104" t="str">
        <x:v>Marcelo Flavio Gomes</x:v>
      </x:c>
      <x:c r="C99" s="104" t="str">
        <x:v>Cardiologia</x:v>
      </x:c>
      <x:c r="D99" s="104" t="str">
        <x:v>Paciente 40</x:v>
      </x:c>
      <x:c r="E99" s="46" t="n">
        <x:v>46213.74722222222</x:v>
      </x:c>
      <x:c r="F99" s="46" t="n">
        <x:v>46213.751388888886</x:v>
      </x:c>
      <x:c r="G99" s="47" t="n">
        <x:v>0.004166666666666667</x:v>
      </x:c>
      <x:c r="H99" s="152"/>
      <x:c r="I99" s="104" t="str">
        <x:v>Não</x:v>
      </x:c>
      <x:c r="J99" s="145" t="str"/>
      <x:c r="K99" s="47" t="n">
        <x:v>0.0006944444444444445</x:v>
      </x:c>
      <x:c r="L99" s="158" t="str">
        <x:v>Marcelo_Cardio_10-07</x:v>
      </x:c>
      <x:c r="M99" s="47" t="n">
        <x:v>0.004166666666666667</x:v>
      </x:c>
      <x:c r="N99" s="278" t="n">
        <x:v>103</x:v>
      </x:c>
    </x:row>
    <x:row r="100">
      <x:c r="A100" s="157" t="n">
        <x:v>46213</x:v>
      </x:c>
      <x:c r="B100" s="104" t="str">
        <x:v>Marcelo Flavio Gomes</x:v>
      </x:c>
      <x:c r="C100" s="104" t="str">
        <x:v>Cardiologia</x:v>
      </x:c>
      <x:c r="D100" s="104" t="str">
        <x:v>Paciente 41</x:v>
      </x:c>
      <x:c r="E100" s="46" t="n">
        <x:v>46213.75208333333</x:v>
      </x:c>
      <x:c r="F100" s="46" t="n">
        <x:v>46213.75486111111</x:v>
      </x:c>
      <x:c r="G100" s="47" t="n">
        <x:v>0.002777777777777778</x:v>
      </x:c>
      <x:c r="H100" s="152"/>
      <x:c r="I100" s="104" t="str">
        <x:v>Não</x:v>
      </x:c>
      <x:c r="J100" s="145" t="str"/>
      <x:c r="K100" s="47" t="n">
        <x:v>0</x:v>
      </x:c>
      <x:c r="L100" s="158" t="str">
        <x:v>Marcelo_Cardio_10-07</x:v>
      </x:c>
      <x:c r="M100" s="47" t="n">
        <x:v>0.002777777777777778</x:v>
      </x:c>
      <x:c r="N100" s="278" t="n">
        <x:v>82</x:v>
      </x:c>
    </x:row>
    <x:row r="101">
      <x:c r="A101" s="157" t="n">
        <x:v>46213</x:v>
      </x:c>
      <x:c r="B101" s="104" t="str">
        <x:v>Marcelo Flavio Gomes</x:v>
      </x:c>
      <x:c r="C101" s="104" t="str">
        <x:v>Cardiologia</x:v>
      </x:c>
      <x:c r="D101" s="104" t="str">
        <x:v>Paciente 42</x:v>
      </x:c>
      <x:c r="E101" s="46" t="n">
        <x:v>46213.75486111111</x:v>
      </x:c>
      <x:c r="F101" s="46" t="n">
        <x:v>46213.75763888889</x:v>
      </x:c>
      <x:c r="G101" s="47" t="n">
        <x:v>0.002777777777777778</x:v>
      </x:c>
      <x:c r="H101" s="152"/>
      <x:c r="I101" s="104" t="str">
        <x:v>Não</x:v>
      </x:c>
      <x:c r="J101" s="145" t="str"/>
      <x:c r="K101" s="47" t="n">
        <x:v>0.0006944444444444445</x:v>
      </x:c>
      <x:c r="L101" s="158" t="str">
        <x:v>Marcelo_Cardio_10-07</x:v>
      </x:c>
      <x:c r="M101" s="47" t="n">
        <x:v>0.002777777777777778</x:v>
      </x:c>
      <x:c r="N101" s="278" t="n">
        <x:v>87</x:v>
      </x:c>
    </x:row>
    <x:row r="102">
      <x:c r="A102" s="157" t="n">
        <x:v>46213</x:v>
      </x:c>
      <x:c r="B102" s="104" t="str">
        <x:v>Marcelo Flavio Gomes</x:v>
      </x:c>
      <x:c r="C102" s="104" t="str">
        <x:v>Cardiologia</x:v>
      </x:c>
      <x:c r="D102" s="104" t="str">
        <x:v>Paciente 43</x:v>
      </x:c>
      <x:c r="E102" s="46" t="n">
        <x:v>46213.75833333333</x:v>
      </x:c>
      <x:c r="F102" s="46" t="n">
        <x:v>46213.76180555556</x:v>
      </x:c>
      <x:c r="G102" s="47" t="n">
        <x:v>0.003472222222222222</x:v>
      </x:c>
      <x:c r="H102" s="152"/>
      <x:c r="I102" s="104" t="str">
        <x:v>Não</x:v>
      </x:c>
      <x:c r="J102" s="145" t="str"/>
      <x:c r="K102" s="47" t="n">
        <x:v>0.0006944444444444445</x:v>
      </x:c>
      <x:c r="L102" s="158" t="str">
        <x:v>Marcelo_Cardio_10-07</x:v>
      </x:c>
      <x:c r="M102" s="47" t="n">
        <x:v>0.003472222222222222</x:v>
      </x:c>
      <x:c r="N102" s="278" t="n">
        <x:v>81</x:v>
      </x:c>
    </x:row>
    <x:row r="103">
      <x:c r="A103" s="157" t="n">
        <x:v>46213</x:v>
      </x:c>
      <x:c r="B103" s="104" t="str">
        <x:v>Marcelo Flavio Gomes</x:v>
      </x:c>
      <x:c r="C103" s="104" t="str">
        <x:v>Cardiologia</x:v>
      </x:c>
      <x:c r="D103" s="104" t="str">
        <x:v>Paciente 44</x:v>
      </x:c>
      <x:c r="E103" s="46" t="n">
        <x:v>46213.7625</x:v>
      </x:c>
      <x:c r="F103" s="46" t="n">
        <x:v>46213.76875</x:v>
      </x:c>
      <x:c r="G103" s="47" t="n">
        <x:v>0.00625</x:v>
      </x:c>
      <x:c r="H103" s="152"/>
      <x:c r="I103" s="104" t="str">
        <x:v>Não</x:v>
      </x:c>
      <x:c r="J103" s="145" t="str"/>
      <x:c r="K103" s="47" t="n">
        <x:v>0.0006944444444444445</x:v>
      </x:c>
      <x:c r="L103" s="158" t="str">
        <x:v>Marcelo_Cardio_10-07</x:v>
      </x:c>
      <x:c r="M103" s="47" t="n">
        <x:v>0.00625</x:v>
      </x:c>
      <x:c r="N103" s="278" t="n">
        <x:v>92</x:v>
      </x:c>
    </x:row>
    <x:row r="104">
      <x:c r="A104" s="157" t="n">
        <x:v>46213</x:v>
      </x:c>
      <x:c r="B104" s="104" t="str">
        <x:v>Marcelo Flavio Gomes</x:v>
      </x:c>
      <x:c r="C104" s="104" t="str">
        <x:v>Cardiologia</x:v>
      </x:c>
      <x:c r="D104" s="104" t="str">
        <x:v>Paciente 45</x:v>
      </x:c>
      <x:c r="E104" s="46" t="n">
        <x:v>46213.76944444444</x:v>
      </x:c>
      <x:c r="F104" s="46" t="n">
        <x:v>46213.771527777775</x:v>
      </x:c>
      <x:c r="G104" s="47" t="n">
        <x:v>0.0020833333333333333</x:v>
      </x:c>
      <x:c r="H104" s="152"/>
      <x:c r="I104" s="104" t="str">
        <x:v>Não</x:v>
      </x:c>
      <x:c r="J104" s="145" t="str"/>
      <x:c r="K104" s="47" t="n">
        <x:v>0.0006944444444444445</x:v>
      </x:c>
      <x:c r="L104" s="158" t="str">
        <x:v>Marcelo_Cardio_10-07</x:v>
      </x:c>
      <x:c r="M104" s="47" t="n">
        <x:v>0.0020833333333333333</x:v>
      </x:c>
      <x:c r="N104" s="278" t="n">
        <x:v>66</x:v>
      </x:c>
    </x:row>
    <x:row r="105">
      <x:c r="A105" s="157" t="n">
        <x:v>46213</x:v>
      </x:c>
      <x:c r="B105" s="104" t="str">
        <x:v>Marcelo Flavio Gomes</x:v>
      </x:c>
      <x:c r="C105" s="104" t="str">
        <x:v>Cardiologia</x:v>
      </x:c>
      <x:c r="D105" s="104" t="str">
        <x:v>Paciente 46</x:v>
      </x:c>
      <x:c r="E105" s="46" t="n">
        <x:v>46213.77222222222</x:v>
      </x:c>
      <x:c r="F105" s="46" t="n">
        <x:v>46213.77916666667</x:v>
      </x:c>
      <x:c r="G105" s="47" t="n">
        <x:v>0.006944444444444444</x:v>
      </x:c>
      <x:c r="H105" s="152"/>
      <x:c r="I105" s="104" t="str">
        <x:v>Não</x:v>
      </x:c>
      <x:c r="J105" s="145" t="str"/>
      <x:c r="K105" s="47" t="n">
        <x:v>0</x:v>
      </x:c>
      <x:c r="L105" s="158" t="str">
        <x:v>Marcelo_Cardio_10-07</x:v>
      </x:c>
      <x:c r="M105" s="47" t="n">
        <x:v>0.006944444444444444</x:v>
      </x:c>
      <x:c r="N105" s="278" t="n">
        <x:v>101</x:v>
      </x:c>
    </x:row>
    <x:row r="106">
      <x:c r="A106" s="157" t="n">
        <x:v>46213</x:v>
      </x:c>
      <x:c r="B106" s="104" t="str">
        <x:v>Marcelo Flavio Gomes</x:v>
      </x:c>
      <x:c r="C106" s="104" t="str">
        <x:v>Cardiologia</x:v>
      </x:c>
      <x:c r="D106" s="104" t="str">
        <x:v>Paciente 47</x:v>
      </x:c>
      <x:c r="E106" s="46" t="n">
        <x:v>46213.77916666667</x:v>
      </x:c>
      <x:c r="F106" s="46" t="n">
        <x:v>46213.78194444445</x:v>
      </x:c>
      <x:c r="G106" s="47" t="n">
        <x:v>0.002777777777777778</x:v>
      </x:c>
      <x:c r="H106" s="152"/>
      <x:c r="I106" s="104" t="str">
        <x:v>Não</x:v>
      </x:c>
      <x:c r="J106" s="145" t="str"/>
      <x:c r="K106" s="47"/>
      <x:c r="L106" s="158" t="str">
        <x:v>Marcelo_Cardio_10-07</x:v>
      </x:c>
      <x:c r="M106" s="47" t="n">
        <x:v>0.002777777777777778</x:v>
      </x:c>
      <x:c r="N106" s="278" t="n">
        <x:v>52</x:v>
      </x:c>
    </x:row>
    <x:row r="107">
      <x:c r="A107" s="157" t="n">
        <x:v>46216</x:v>
      </x:c>
      <x:c r="B107" s="104" t="str">
        <x:v>Bruno Garrett Bento</x:v>
      </x:c>
      <x:c r="C107" s="104" t="str">
        <x:v>Neurocirurgia</x:v>
      </x:c>
      <x:c r="D107" s="104" t="str">
        <x:v>Paciente 1</x:v>
      </x:c>
      <x:c r="E107" s="46" t="n">
        <x:v>46216.345138888886</x:v>
      </x:c>
      <x:c r="F107" s="46" t="n">
        <x:v>46216.35625</x:v>
      </x:c>
      <x:c r="G107" s="47" t="n">
        <x:v>0.011111111110949423</x:v>
      </x:c>
      <x:c r="H107" s="152"/>
      <x:c r="I107" s="104" t="str">
        <x:v>Não</x:v>
      </x:c>
      <x:c r="J107" s="145" t="str"/>
      <x:c r="K107" s="47" t="n">
        <x:v>0</x:v>
      </x:c>
      <x:c r="L107" s="158" t="str">
        <x:v>Bruno_Neuro_13-07</x:v>
      </x:c>
      <x:c r="M107" s="47" t="n">
        <x:v>0.011111111110949423</x:v>
      </x:c>
      <x:c r="N107" s="278"/>
    </x:row>
    <x:row r="108">
      <x:c r="A108" s="157" t="n">
        <x:v>46216</x:v>
      </x:c>
      <x:c r="B108" s="104" t="str">
        <x:v>Bruno Garrett Bento</x:v>
      </x:c>
      <x:c r="C108" s="104" t="str">
        <x:v>Neurocirurgia</x:v>
      </x:c>
      <x:c r="D108" s="104" t="str">
        <x:v>Paciente 2</x:v>
      </x:c>
      <x:c r="E108" s="46" t="n">
        <x:v>46216.35625</x:v>
      </x:c>
      <x:c r="F108" s="46" t="n">
        <x:v>46216.36875</x:v>
      </x:c>
      <x:c r="G108" s="47" t="n">
        <x:v>0.012500000004365575</x:v>
      </x:c>
      <x:c r="H108" s="152"/>
      <x:c r="I108" s="104" t="str">
        <x:v>Não</x:v>
      </x:c>
      <x:c r="J108" s="145" t="str"/>
      <x:c r="K108" s="47" t="n">
        <x:v>0</x:v>
      </x:c>
      <x:c r="L108" s="158" t="str">
        <x:v>Bruno_Neuro_13-07</x:v>
      </x:c>
      <x:c r="M108" s="47" t="n">
        <x:v>0.012500000004365575</x:v>
      </x:c>
      <x:c r="N108" s="278"/>
    </x:row>
    <x:row r="109">
      <x:c r="A109" s="157" t="n">
        <x:v>46216</x:v>
      </x:c>
      <x:c r="B109" s="104" t="str">
        <x:v>Bruno Garrett Bento</x:v>
      </x:c>
      <x:c r="C109" s="104" t="str">
        <x:v>Neurocirurgia</x:v>
      </x:c>
      <x:c r="D109" s="104" t="str">
        <x:v>Paciente 3</x:v>
      </x:c>
      <x:c r="E109" s="46" t="n">
        <x:v>46216.36875</x:v>
      </x:c>
      <x:c r="F109" s="46" t="n">
        <x:v>46216.38125</x:v>
      </x:c>
      <x:c r="G109" s="47" t="n">
        <x:v>0.012499999997089617</x:v>
      </x:c>
      <x:c r="H109" s="152"/>
      <x:c r="I109" s="104" t="str">
        <x:v>Não</x:v>
      </x:c>
      <x:c r="J109" s="145" t="str"/>
      <x:c r="K109" s="47" t="n">
        <x:v>0.0013888888934161514</x:v>
      </x:c>
      <x:c r="L109" s="158" t="str">
        <x:v>Bruno_Neuro_13-07</x:v>
      </x:c>
      <x:c r="M109" s="47" t="n">
        <x:v>0.012499999997089617</x:v>
      </x:c>
      <x:c r="N109" s="278"/>
    </x:row>
    <x:row r="110">
      <x:c r="A110" s="157" t="n">
        <x:v>46216</x:v>
      </x:c>
      <x:c r="B110" s="104" t="str">
        <x:v>Bruno Garrett Bento</x:v>
      </x:c>
      <x:c r="C110" s="104" t="str">
        <x:v>Neurocirurgia</x:v>
      </x:c>
      <x:c r="D110" s="104" t="str">
        <x:v>Paciente 4</x:v>
      </x:c>
      <x:c r="E110" s="46" t="n">
        <x:v>46216.38263888889</x:v>
      </x:c>
      <x:c r="F110" s="46" t="n">
        <x:v>46216.388194444444</x:v>
      </x:c>
      <x:c r="G110" s="47" t="n">
        <x:v>0.005555555551836733</x:v>
      </x:c>
      <x:c r="H110" s="152"/>
      <x:c r="I110" s="104" t="str">
        <x:v>Não</x:v>
      </x:c>
      <x:c r="J110" s="145" t="str"/>
      <x:c r="K110" s="47" t="n">
        <x:v>0.0013888888861401938</x:v>
      </x:c>
      <x:c r="L110" s="158" t="str">
        <x:v>Bruno_Neuro_13-07</x:v>
      </x:c>
      <x:c r="M110" s="47" t="n">
        <x:v>0.005555555551836733</x:v>
      </x:c>
      <x:c r="N110" s="278"/>
    </x:row>
    <x:row r="111">
      <x:c r="A111" s="157" t="n">
        <x:v>46216</x:v>
      </x:c>
      <x:c r="B111" s="104" t="str">
        <x:v>Bruno Garrett Bento</x:v>
      </x:c>
      <x:c r="C111" s="104" t="str">
        <x:v>Neurocirurgia</x:v>
      </x:c>
      <x:c r="D111" s="104" t="str">
        <x:v>Paciente 5</x:v>
      </x:c>
      <x:c r="E111" s="46" t="n">
        <x:v>46216.38958333333</x:v>
      </x:c>
      <x:c r="F111" s="46" t="n">
        <x:v>46216.396527777775</x:v>
      </x:c>
      <x:c r="G111" s="47" t="n">
        <x:v>0.006944444445252884</x:v>
      </x:c>
      <x:c r="H111" s="152"/>
      <x:c r="I111" s="104" t="str">
        <x:v>Não</x:v>
      </x:c>
      <x:c r="J111" s="145" t="str"/>
      <x:c r="K111" s="47" t="n">
        <x:v>0.004861111112404615</x:v>
      </x:c>
      <x:c r="L111" s="158" t="str">
        <x:v>Bruno_Neuro_13-07</x:v>
      </x:c>
      <x:c r="M111" s="47" t="n">
        <x:v>0.006944444445252884</x:v>
      </x:c>
      <x:c r="N111" s="278"/>
    </x:row>
    <x:row r="112">
      <x:c r="A112" s="157" t="n">
        <x:v>46216</x:v>
      </x:c>
      <x:c r="B112" s="104" t="str">
        <x:v>Bruno Garrett Bento</x:v>
      </x:c>
      <x:c r="C112" s="104" t="str">
        <x:v>Neurocirurgia</x:v>
      </x:c>
      <x:c r="D112" s="104" t="str">
        <x:v>Paciente 6</x:v>
      </x:c>
      <x:c r="E112" s="46" t="n">
        <x:v>46216.40138888889</x:v>
      </x:c>
      <x:c r="F112" s="46" t="n">
        <x:v>46216.41388888889</x:v>
      </x:c>
      <x:c r="G112" s="47" t="n">
        <x:v>0.012500000004365575</x:v>
      </x:c>
      <x:c r="H112" s="152"/>
      <x:c r="I112" s="104" t="str">
        <x:v>Não</x:v>
      </x:c>
      <x:c r="J112" s="145" t="str"/>
      <x:c r="K112" s="47" t="n">
        <x:v>0.0006944444394321181</x:v>
      </x:c>
      <x:c r="L112" s="158" t="str">
        <x:v>Bruno_Neuro_13-07</x:v>
      </x:c>
      <x:c r="M112" s="47" t="n">
        <x:v>0.012500000004365575</x:v>
      </x:c>
      <x:c r="N112" s="278"/>
    </x:row>
    <x:row r="113">
      <x:c r="A113" s="157" t="n">
        <x:v>46216</x:v>
      </x:c>
      <x:c r="B113" s="104" t="str">
        <x:v>Bruno Garrett Bento</x:v>
      </x:c>
      <x:c r="C113" s="104" t="str">
        <x:v>Neurocirurgia</x:v>
      </x:c>
      <x:c r="D113" s="104" t="str">
        <x:v>Paciente 7</x:v>
      </x:c>
      <x:c r="E113" s="46" t="n">
        <x:v>46216.41458333333</x:v>
      </x:c>
      <x:c r="F113" s="46" t="n">
        <x:v>46216.42291666667</x:v>
      </x:c>
      <x:c r="G113" s="47" t="n">
        <x:v>0.008333333338669036</x:v>
      </x:c>
      <x:c r="H113" s="152"/>
      <x:c r="I113" s="104" t="str">
        <x:v>Não</x:v>
      </x:c>
      <x:c r="J113" s="145" t="str"/>
      <x:c r="K113" s="47" t="n">
        <x:v>0</x:v>
      </x:c>
      <x:c r="L113" s="158" t="str">
        <x:v>Bruno_Neuro_13-07</x:v>
      </x:c>
      <x:c r="M113" s="47" t="n">
        <x:v>0.008333333338669036</x:v>
      </x:c>
      <x:c r="N113" s="278"/>
    </x:row>
    <x:row r="114">
      <x:c r="A114" s="157" t="n">
        <x:v>46216</x:v>
      </x:c>
      <x:c r="B114" s="104" t="str">
        <x:v>Bruno Garrett Bento</x:v>
      </x:c>
      <x:c r="C114" s="104" t="str">
        <x:v>Neurocirurgia</x:v>
      </x:c>
      <x:c r="D114" s="104" t="str">
        <x:v>Paciente 8</x:v>
      </x:c>
      <x:c r="E114" s="46" t="n">
        <x:v>46216.42291666667</x:v>
      </x:c>
      <x:c r="F114" s="46" t="n">
        <x:v>46216.430555555555</x:v>
      </x:c>
      <x:c r="G114" s="47" t="n">
        <x:v>0.007638888884685002</x:v>
      </x:c>
      <x:c r="H114" s="152"/>
      <x:c r="I114" s="104" t="str">
        <x:v>Não</x:v>
      </x:c>
      <x:c r="J114" s="145" t="str"/>
      <x:c r="K114" s="47" t="n">
        <x:v>0.0013888888861401938</x:v>
      </x:c>
      <x:c r="L114" s="158" t="str">
        <x:v>Bruno_Neuro_13-07</x:v>
      </x:c>
      <x:c r="M114" s="47" t="n">
        <x:v>0.007638888884685002</x:v>
      </x:c>
      <x:c r="N114" s="278"/>
    </x:row>
    <x:row r="115">
      <x:c r="A115" s="157" t="n">
        <x:v>46216</x:v>
      </x:c>
      <x:c r="B115" s="104" t="str">
        <x:v>Bruno Garrett Bento</x:v>
      </x:c>
      <x:c r="C115" s="104" t="str">
        <x:v>Neurocirurgia</x:v>
      </x:c>
      <x:c r="D115" s="104" t="str">
        <x:v>Paciente 9</x:v>
      </x:c>
      <x:c r="E115" s="46" t="n">
        <x:v>46216.43194444444</x:v>
      </x:c>
      <x:c r="F115" s="46" t="n">
        <x:v>46216.44375</x:v>
      </x:c>
      <x:c r="G115" s="47" t="n">
        <x:v>0.011805555557657499</x:v>
      </x:c>
      <x:c r="H115" s="152"/>
      <x:c r="I115" s="104" t="str">
        <x:v>Não</x:v>
      </x:c>
      <x:c r="J115" s="145" t="str"/>
      <x:c r="K115" s="47" t="n">
        <x:v>0</x:v>
      </x:c>
      <x:c r="L115" s="158" t="str">
        <x:v>Bruno_Neuro_13-07</x:v>
      </x:c>
      <x:c r="M115" s="47" t="n">
        <x:v>0.011805555557657499</x:v>
      </x:c>
      <x:c r="N115" s="278"/>
    </x:row>
    <x:row r="116">
      <x:c r="A116" s="157" t="n">
        <x:v>46216</x:v>
      </x:c>
      <x:c r="B116" s="104" t="str">
        <x:v>Bruno Garrett Bento</x:v>
      </x:c>
      <x:c r="C116" s="104" t="str">
        <x:v>Neurocirurgia</x:v>
      </x:c>
      <x:c r="D116" s="104" t="str">
        <x:v>Paciente 10</x:v>
      </x:c>
      <x:c r="E116" s="46" t="n">
        <x:v>46216.44375</x:v>
      </x:c>
      <x:c r="F116" s="46" t="n">
        <x:v>46216.461805555555</x:v>
      </x:c>
      <x:c r="G116" s="47" t="n">
        <x:v>0.018055555556202307</x:v>
      </x:c>
      <x:c r="H116" s="152"/>
      <x:c r="I116" s="104" t="str">
        <x:v>Não</x:v>
      </x:c>
      <x:c r="J116" s="145" t="str"/>
      <x:c r="K116" s="47" t="n">
        <x:v>0</x:v>
      </x:c>
      <x:c r="L116" s="158" t="str">
        <x:v>Bruno_Neuro_13-07</x:v>
      </x:c>
      <x:c r="M116" s="47" t="n">
        <x:v>0.018055555556202307</x:v>
      </x:c>
      <x:c r="N116" s="278"/>
    </x:row>
    <x:row r="117">
      <x:c r="A117" s="157" t="n">
        <x:v>46216</x:v>
      </x:c>
      <x:c r="B117" s="104" t="str">
        <x:v>Bruno Garrett Bento</x:v>
      </x:c>
      <x:c r="C117" s="104" t="str">
        <x:v>Neurocirurgia</x:v>
      </x:c>
      <x:c r="D117" s="104" t="str">
        <x:v>Paciente 11</x:v>
      </x:c>
      <x:c r="E117" s="46" t="n">
        <x:v>46216.461805555555</x:v>
      </x:c>
      <x:c r="F117" s="46" t="n">
        <x:v>46216.46875</x:v>
      </x:c>
      <x:c r="G117" s="47" t="n">
        <x:v>0.006944444445252884</x:v>
      </x:c>
      <x:c r="H117" s="152"/>
      <x:c r="I117" s="104" t="str">
        <x:v>Não</x:v>
      </x:c>
      <x:c r="J117" s="145" t="str"/>
      <x:c r="K117" s="47" t="n">
        <x:v>0.0006944444467080757</x:v>
      </x:c>
      <x:c r="L117" s="158" t="str">
        <x:v>Bruno_Neuro_13-07</x:v>
      </x:c>
      <x:c r="M117" s="47" t="n">
        <x:v>0.006944444445252884</x:v>
      </x:c>
      <x:c r="N117" s="278"/>
    </x:row>
    <x:row r="118">
      <x:c r="A118" s="157" t="n">
        <x:v>46216</x:v>
      </x:c>
      <x:c r="B118" s="104" t="str">
        <x:v>Bruno Garrett Bento</x:v>
      </x:c>
      <x:c r="C118" s="104" t="str">
        <x:v>Neurocirurgia</x:v>
      </x:c>
      <x:c r="D118" s="104" t="str">
        <x:v>Paciente 12</x:v>
      </x:c>
      <x:c r="E118" s="46" t="n">
        <x:v>46216.46944444445</x:v>
      </x:c>
      <x:c r="F118" s="46" t="n">
        <x:v>46216.478472222225</x:v>
      </x:c>
      <x:c r="G118" s="47" t="n">
        <x:v>0.009027777778101154</x:v>
      </x:c>
      <x:c r="H118" s="152"/>
      <x:c r="I118" s="104" t="str">
        <x:v>Não</x:v>
      </x:c>
      <x:c r="J118" s="145" t="str"/>
      <x:c r="K118" s="47" t="n">
        <x:v>0.0013888888861401938</x:v>
      </x:c>
      <x:c r="L118" s="158" t="str">
        <x:v>Bruno_Neuro_13-07</x:v>
      </x:c>
      <x:c r="M118" s="47" t="n">
        <x:v>0.009027777778101154</x:v>
      </x:c>
      <x:c r="N118" s="278"/>
    </x:row>
    <x:row r="119">
      <x:c r="A119" s="157" t="n">
        <x:v>46216</x:v>
      </x:c>
      <x:c r="B119" s="104" t="str">
        <x:v>Bruno Garrett Bento</x:v>
      </x:c>
      <x:c r="C119" s="104" t="str">
        <x:v>Neurocirurgia</x:v>
      </x:c>
      <x:c r="D119" s="104" t="str">
        <x:v>Paciente 13</x:v>
      </x:c>
      <x:c r="E119" s="46" t="n">
        <x:v>46216.47986111111</x:v>
      </x:c>
      <x:c r="F119" s="46" t="n">
        <x:v>46216.48402777778</x:v>
      </x:c>
      <x:c r="G119" s="47" t="n">
        <x:v>0.004166666665696539</x:v>
      </x:c>
      <x:c r="H119" s="152"/>
      <x:c r="I119" s="104" t="str">
        <x:v>Não</x:v>
      </x:c>
      <x:c r="J119" s="145" t="str"/>
      <x:c r="K119" s="47" t="n">
        <x:v>0.0006944444467080757</x:v>
      </x:c>
      <x:c r="L119" s="158" t="str">
        <x:v>Bruno_Neuro_13-07</x:v>
      </x:c>
      <x:c r="M119" s="47" t="n">
        <x:v>0.004166666665696539</x:v>
      </x:c>
      <x:c r="N119" s="278"/>
    </x:row>
    <x:row r="120">
      <x:c r="A120" s="157" t="n">
        <x:v>46216</x:v>
      </x:c>
      <x:c r="B120" s="104" t="str">
        <x:v>Bruno Garrett Bento</x:v>
      </x:c>
      <x:c r="C120" s="104" t="str">
        <x:v>Neurocirurgia</x:v>
      </x:c>
      <x:c r="D120" s="104" t="str">
        <x:v>Paciente 14</x:v>
      </x:c>
      <x:c r="E120" s="46" t="n">
        <x:v>46216.48472222222</x:v>
      </x:c>
      <x:c r="F120" s="46" t="n">
        <x:v>46216.48888888889</x:v>
      </x:c>
      <x:c r="G120" s="47" t="n">
        <x:v>0.004166666665696539</x:v>
      </x:c>
      <x:c r="H120" s="152"/>
      <x:c r="I120" s="104" t="str">
        <x:v>Não</x:v>
      </x:c>
      <x:c r="J120" s="145" t="str"/>
      <x:c r="K120" s="47" t="n">
        <x:v>0</x:v>
      </x:c>
      <x:c r="L120" s="158" t="str">
        <x:v>Bruno_Neuro_13-07</x:v>
      </x:c>
      <x:c r="M120" s="47" t="n">
        <x:v>0.004166666665696539</x:v>
      </x:c>
      <x:c r="N120" s="278"/>
    </x:row>
    <x:row r="121">
      <x:c r="A121" s="157" t="n">
        <x:v>46216</x:v>
      </x:c>
      <x:c r="B121" s="104" t="str">
        <x:v>Bruno Garrett Bento</x:v>
      </x:c>
      <x:c r="C121" s="104" t="str">
        <x:v>Neurocirurgia</x:v>
      </x:c>
      <x:c r="D121" s="104" t="str">
        <x:v>Paciente 15</x:v>
      </x:c>
      <x:c r="E121" s="46" t="n">
        <x:v>46216.48888888889</x:v>
      </x:c>
      <x:c r="F121" s="46" t="n">
        <x:v>46216.49791666667</x:v>
      </x:c>
      <x:c r="G121" s="47" t="n">
        <x:v>0.009027777778101154</x:v>
      </x:c>
      <x:c r="H121" s="152"/>
      <x:c r="I121" s="104" t="str">
        <x:v>Não</x:v>
      </x:c>
      <x:c r="J121" s="145" t="str"/>
      <x:c r="K121" s="47" t="n">
        <x:v>0</x:v>
      </x:c>
      <x:c r="L121" s="158" t="str">
        <x:v>Bruno_Neuro_13-07</x:v>
      </x:c>
      <x:c r="M121" s="47" t="n">
        <x:v>0.009027777778101154</x:v>
      </x:c>
      <x:c r="N121" s="278"/>
    </x:row>
    <x:row r="122">
      <x:c r="A122" s="157" t="n">
        <x:v>46216</x:v>
      </x:c>
      <x:c r="B122" s="104" t="str">
        <x:v>Bruno Garrett Bento</x:v>
      </x:c>
      <x:c r="C122" s="104" t="str">
        <x:v>Neurocirurgia</x:v>
      </x:c>
      <x:c r="D122" s="104" t="str">
        <x:v>Paciente 16</x:v>
      </x:c>
      <x:c r="E122" s="46" t="n">
        <x:v>46216.49791666667</x:v>
      </x:c>
      <x:c r="F122" s="46" t="n">
        <x:v>46216.50763888889</x:v>
      </x:c>
      <x:c r="G122" s="47" t="n">
        <x:v>0.00972222222480923</x:v>
      </x:c>
      <x:c r="H122" s="152"/>
      <x:c r="I122" s="104" t="str">
        <x:v>Não</x:v>
      </x:c>
      <x:c r="J122" s="145" t="str"/>
      <x:c r="K122" s="47" t="n">
        <x:v>0.0006944444394321181</x:v>
      </x:c>
      <x:c r="L122" s="158" t="str">
        <x:v>Bruno_Neuro_13-07</x:v>
      </x:c>
      <x:c r="M122" s="47" t="n">
        <x:v>0.00972222222480923</x:v>
      </x:c>
      <x:c r="N122" s="278"/>
    </x:row>
    <x:row r="123">
      <x:c r="A123" s="157" t="n">
        <x:v>46216</x:v>
      </x:c>
      <x:c r="B123" s="104" t="str">
        <x:v>Bruno Garrett Bento</x:v>
      </x:c>
      <x:c r="C123" s="104" t="str">
        <x:v>Neurocirurgia</x:v>
      </x:c>
      <x:c r="D123" s="104" t="str">
        <x:v>Paciente 17</x:v>
      </x:c>
      <x:c r="E123" s="46" t="n">
        <x:v>46216.50833333333</x:v>
      </x:c>
      <x:c r="F123" s="46" t="n">
        <x:v>46216.51388888889</x:v>
      </x:c>
      <x:c r="G123" s="47" t="n">
        <x:v>0.00555555555911269</x:v>
      </x:c>
      <x:c r="H123" s="152"/>
      <x:c r="I123" s="104" t="str">
        <x:v>Não</x:v>
      </x:c>
      <x:c r="J123" s="145" t="str"/>
      <x:c r="K123" s="47" t="n">
        <x:v>0</x:v>
      </x:c>
      <x:c r="L123" s="158" t="str">
        <x:v>Bruno_Neuro_13-07</x:v>
      </x:c>
      <x:c r="M123" s="47" t="n">
        <x:v>0.00555555555911269</x:v>
      </x:c>
      <x:c r="N123" s="278"/>
    </x:row>
    <x:row r="124">
      <x:c r="A124" s="157" t="n">
        <x:v>46216</x:v>
      </x:c>
      <x:c r="B124" s="104" t="str">
        <x:v>Bruno Garrett Bento</x:v>
      </x:c>
      <x:c r="C124" s="104" t="str">
        <x:v>Neurocirurgia</x:v>
      </x:c>
      <x:c r="D124" s="104" t="str">
        <x:v>Paciente 18</x:v>
      </x:c>
      <x:c r="E124" s="46" t="n">
        <x:v>46216.51388888889</x:v>
      </x:c>
      <x:c r="F124" s="46" t="n">
        <x:v>46216.52638888889</x:v>
      </x:c>
      <x:c r="G124" s="47" t="n">
        <x:v>0.012499999997089617</x:v>
      </x:c>
      <x:c r="H124" s="152"/>
      <x:c r="I124" s="104" t="str">
        <x:v>Não</x:v>
      </x:c>
      <x:c r="J124" s="145" t="str"/>
      <x:c r="K124" s="47" t="n">
        <x:v>0</x:v>
      </x:c>
      <x:c r="L124" s="158" t="str">
        <x:v>Bruno_Neuro_13-07</x:v>
      </x:c>
      <x:c r="M124" s="47" t="n">
        <x:v>0.012499999997089617</x:v>
      </x:c>
      <x:c r="N124" s="278"/>
    </x:row>
    <x:row r="125">
      <x:c r="A125" s="157" t="n">
        <x:v>46216</x:v>
      </x:c>
      <x:c r="B125" s="104" t="str">
        <x:v>Bruno Garrett Bento</x:v>
      </x:c>
      <x:c r="C125" s="104" t="str">
        <x:v>Neurocirurgia</x:v>
      </x:c>
      <x:c r="D125" s="104" t="str">
        <x:v>Paciente 19</x:v>
      </x:c>
      <x:c r="E125" s="46" t="n">
        <x:v>46216.52638888889</x:v>
      </x:c>
      <x:c r="F125" s="46" t="n">
        <x:v>46216.53472222222</x:v>
      </x:c>
      <x:c r="G125" s="47" t="n">
        <x:v>0.008333333331393078</x:v>
      </x:c>
      <x:c r="H125" s="152"/>
      <x:c r="I125" s="104" t="str">
        <x:v>Não</x:v>
      </x:c>
      <x:c r="J125" s="145" t="str"/>
      <x:c r="K125" s="47" t="n">
        <x:v>0.0013888888934161514</x:v>
      </x:c>
      <x:c r="L125" s="158" t="str">
        <x:v>Bruno_Neuro_13-07</x:v>
      </x:c>
      <x:c r="M125" s="47" t="n">
        <x:v>0.008333333331393078</x:v>
      </x:c>
      <x:c r="N125" s="278"/>
    </x:row>
    <x:row r="126">
      <x:c r="A126" s="157" t="n">
        <x:v>46216</x:v>
      </x:c>
      <x:c r="B126" s="104" t="str">
        <x:v>Bruno Garrett Bento</x:v>
      </x:c>
      <x:c r="C126" s="104" t="str">
        <x:v>Neurocirurgia</x:v>
      </x:c>
      <x:c r="D126" s="104" t="str">
        <x:v>Paciente 20</x:v>
      </x:c>
      <x:c r="E126" s="46" t="n">
        <x:v>46216.53611111111</x:v>
      </x:c>
      <x:c r="F126" s="46" t="n">
        <x:v>46216.53888888889</x:v>
      </x:c>
      <x:c r="G126" s="47" t="n">
        <x:v>0.002777777779556345</x:v>
      </x:c>
      <x:c r="H126" s="152"/>
      <x:c r="I126" s="104" t="str">
        <x:v>Não</x:v>
      </x:c>
      <x:c r="J126" s="145" t="str"/>
      <x:c r="K126" s="47" t="n">
        <x:v>0.03958333333139308</x:v>
      </x:c>
      <x:c r="L126" s="158" t="str">
        <x:v>Bruno_Neuro_13-07</x:v>
      </x:c>
      <x:c r="M126" s="47" t="n">
        <x:v>0.002777777779556345</x:v>
      </x:c>
      <x:c r="N126" s="278"/>
    </x:row>
    <x:row r="127">
      <x:c r="A127" s="157" t="n">
        <x:v>46216</x:v>
      </x:c>
      <x:c r="B127" s="104" t="str">
        <x:v>Bruno Garrett Bento</x:v>
      </x:c>
      <x:c r="C127" s="104" t="str">
        <x:v>Neurocirurgia</x:v>
      </x:c>
      <x:c r="D127" s="104" t="str">
        <x:v>Paciente 21</x:v>
      </x:c>
      <x:c r="E127" s="46" t="n">
        <x:v>46216.57847222222</x:v>
      </x:c>
      <x:c r="F127" s="46" t="n">
        <x:v>46216.59097222222</x:v>
      </x:c>
      <x:c r="G127" s="47" t="n">
        <x:v>0.012499999997089617</x:v>
      </x:c>
      <x:c r="H127" s="152"/>
      <x:c r="I127" s="104" t="str">
        <x:v>Não</x:v>
      </x:c>
      <x:c r="J127" s="145" t="str"/>
      <x:c r="K127" s="47" t="n">
        <x:v>0.0006944444467080757</x:v>
      </x:c>
      <x:c r="L127" s="158" t="str">
        <x:v>Bruno_Neuro_13-07</x:v>
      </x:c>
      <x:c r="M127" s="47" t="n">
        <x:v>0.012499999997089617</x:v>
      </x:c>
      <x:c r="N127" s="278"/>
    </x:row>
    <x:row r="128">
      <x:c r="A128" s="157" t="n">
        <x:v>46216</x:v>
      </x:c>
      <x:c r="B128" s="104" t="str">
        <x:v>Bruno Garrett Bento</x:v>
      </x:c>
      <x:c r="C128" s="104" t="str">
        <x:v>Neurocirurgia</x:v>
      </x:c>
      <x:c r="D128" s="104" t="str">
        <x:v>Paciente 22</x:v>
      </x:c>
      <x:c r="E128" s="46" t="n">
        <x:v>46216.59166666667</x:v>
      </x:c>
      <x:c r="F128" s="46" t="n">
        <x:v>46216.600694444445</x:v>
      </x:c>
      <x:c r="G128" s="47" t="n">
        <x:v>0.009027777778101154</x:v>
      </x:c>
      <x:c r="H128" s="152"/>
      <x:c r="I128" s="104" t="str">
        <x:v>Não</x:v>
      </x:c>
      <x:c r="J128" s="145" t="str"/>
      <x:c r="K128" s="47" t="n">
        <x:v>0.0006944444467080757</x:v>
      </x:c>
      <x:c r="L128" s="158" t="str">
        <x:v>Bruno_Neuro_13-07</x:v>
      </x:c>
      <x:c r="M128" s="47" t="n">
        <x:v>0.009027777778101154</x:v>
      </x:c>
      <x:c r="N128" s="278"/>
    </x:row>
    <x:row r="129">
      <x:c r="A129" s="157" t="n">
        <x:v>46216</x:v>
      </x:c>
      <x:c r="B129" s="104" t="str">
        <x:v>Bruno Garrett Bento</x:v>
      </x:c>
      <x:c r="C129" s="104" t="str">
        <x:v>Neurocirurgia</x:v>
      </x:c>
      <x:c r="D129" s="104" t="str">
        <x:v>Paciente 23</x:v>
      </x:c>
      <x:c r="E129" s="46" t="n">
        <x:v>46216.60138888889</x:v>
      </x:c>
      <x:c r="F129" s="46" t="n">
        <x:v>46216.61319444444</x:v>
      </x:c>
      <x:c r="G129" s="47" t="n">
        <x:v>0.011805555550381541</x:v>
      </x:c>
      <x:c r="H129" s="152"/>
      <x:c r="I129" s="104" t="str">
        <x:v>Não</x:v>
      </x:c>
      <x:c r="J129" s="145" t="str"/>
      <x:c r="K129" s="47" t="n">
        <x:v>0.0013888888934161514</x:v>
      </x:c>
      <x:c r="L129" s="158" t="str">
        <x:v>Bruno_Neuro_13-07</x:v>
      </x:c>
      <x:c r="M129" s="47" t="n">
        <x:v>0.011805555550381541</x:v>
      </x:c>
      <x:c r="N129" s="278"/>
    </x:row>
    <x:row r="130">
      <x:c r="A130" s="157" t="n">
        <x:v>46216</x:v>
      </x:c>
      <x:c r="B130" s="104" t="str">
        <x:v>Bruno Garrett Bento</x:v>
      </x:c>
      <x:c r="C130" s="104" t="str">
        <x:v>Neurocirurgia</x:v>
      </x:c>
      <x:c r="D130" s="104" t="str">
        <x:v>Paciente 24</x:v>
      </x:c>
      <x:c r="E130" s="46" t="n">
        <x:v>46216.614583333336</x:v>
      </x:c>
      <x:c r="F130" s="46" t="n">
        <x:v>46216.623611111114</x:v>
      </x:c>
      <x:c r="G130" s="47" t="n">
        <x:v>0.009027777778101154</x:v>
      </x:c>
      <x:c r="H130" s="152"/>
      <x:c r="I130" s="104" t="str">
        <x:v>Não</x:v>
      </x:c>
      <x:c r="J130" s="145" t="str"/>
      <x:c r="K130" s="47" t="n">
        <x:v>0</x:v>
      </x:c>
      <x:c r="L130" s="158" t="str">
        <x:v>Bruno_Neuro_13-07</x:v>
      </x:c>
      <x:c r="M130" s="47" t="n">
        <x:v>0.009027777778101154</x:v>
      </x:c>
      <x:c r="N130" s="278"/>
    </x:row>
    <x:row r="131">
      <x:c r="A131" s="157" t="n">
        <x:v>46216</x:v>
      </x:c>
      <x:c r="B131" s="104" t="str">
        <x:v>Bruno Garrett Bento</x:v>
      </x:c>
      <x:c r="C131" s="104" t="str">
        <x:v>Neurocirurgia</x:v>
      </x:c>
      <x:c r="D131" s="104" t="str">
        <x:v>Paciente 25</x:v>
      </x:c>
      <x:c r="E131" s="46" t="n">
        <x:v>46216.623611111114</x:v>
      </x:c>
      <x:c r="F131" s="46" t="n">
        <x:v>46216.63125</x:v>
      </x:c>
      <x:c r="G131" s="47" t="n">
        <x:v>0.007638888884685002</x:v>
      </x:c>
      <x:c r="H131" s="152"/>
      <x:c r="I131" s="104" t="str">
        <x:v>Não</x:v>
      </x:c>
      <x:c r="J131" s="145" t="str"/>
      <x:c r="K131" s="47" t="n">
        <x:v>0.0006944444467080757</x:v>
      </x:c>
      <x:c r="L131" s="158" t="str">
        <x:v>Bruno_Neuro_13-07</x:v>
      </x:c>
      <x:c r="M131" s="47" t="n">
        <x:v>0.007638888884685002</x:v>
      </x:c>
      <x:c r="N131" s="278"/>
    </x:row>
    <x:row r="132">
      <x:c r="A132" s="157" t="n">
        <x:v>46216</x:v>
      </x:c>
      <x:c r="B132" s="104" t="str">
        <x:v>Bruno Garrett Bento</x:v>
      </x:c>
      <x:c r="C132" s="104" t="str">
        <x:v>Neurocirurgia</x:v>
      </x:c>
      <x:c r="D132" s="104" t="str">
        <x:v>Paciente 26</x:v>
      </x:c>
      <x:c r="E132" s="46" t="n">
        <x:v>46216.631944444445</x:v>
      </x:c>
      <x:c r="F132" s="46" t="n">
        <x:v>46216.65</x:v>
      </x:c>
      <x:c r="G132" s="47" t="n">
        <x:v>0.018055555556202307</x:v>
      </x:c>
      <x:c r="H132" s="152"/>
      <x:c r="I132" s="104" t="str">
        <x:v>Não</x:v>
      </x:c>
      <x:c r="J132" s="145" t="str"/>
      <x:c r="K132" s="47" t="n">
        <x:v>0.0013888888861401938</x:v>
      </x:c>
      <x:c r="L132" s="158" t="str">
        <x:v>Bruno_Neuro_13-07</x:v>
      </x:c>
      <x:c r="M132" s="47" t="n">
        <x:v>0.018055555556202307</x:v>
      </x:c>
      <x:c r="N132" s="278"/>
    </x:row>
    <x:row r="133">
      <x:c r="A133" s="157" t="n">
        <x:v>46216</x:v>
      </x:c>
      <x:c r="B133" s="104" t="str">
        <x:v>Bruno Garrett Bento</x:v>
      </x:c>
      <x:c r="C133" s="104" t="str">
        <x:v>Neurocirurgia</x:v>
      </x:c>
      <x:c r="D133" s="104" t="str">
        <x:v>Paciente 27</x:v>
      </x:c>
      <x:c r="E133" s="46" t="n">
        <x:v>46216.65138888889</x:v>
      </x:c>
      <x:c r="F133" s="46" t="n">
        <x:v>46216.665972222225</x:v>
      </x:c>
      <x:c r="G133" s="47" t="n">
        <x:v>0.014583333337213844</x:v>
      </x:c>
      <x:c r="H133" s="152" t="n">
        <x:v>0.00763888889196096</x:v>
      </x:c>
      <x:c r="I133" s="104" t="str">
        <x:v>Sim</x:v>
      </x:c>
      <x:c r="J133" s="145" t="str">
        <x:v>Término posterior ao início do atendimento seguinte</x:v>
      </x:c>
      <x:c r="K133" s="47" t="n">
        <x:v>0</x:v>
      </x:c>
      <x:c r="L133" s="158" t="str">
        <x:v>Bruno_Neuro_13-07</x:v>
      </x:c>
      <x:c r="M133" s="47" t="n">
        <x:v>0.00763888889196096</x:v>
      </x:c>
      <x:c r="N133" s="278"/>
    </x:row>
    <x:row r="134">
      <x:c r="A134" s="157" t="n">
        <x:v>46216</x:v>
      </x:c>
      <x:c r="B134" s="104" t="str">
        <x:v>Bruno Garrett Bento</x:v>
      </x:c>
      <x:c r="C134" s="104" t="str">
        <x:v>Neurocirurgia</x:v>
      </x:c>
      <x:c r="D134" s="104" t="str">
        <x:v>Paciente 28</x:v>
      </x:c>
      <x:c r="E134" s="46" t="n">
        <x:v>46216.65902777778</x:v>
      </x:c>
      <x:c r="F134" s="46" t="n">
        <x:v>46216.66388888889</x:v>
      </x:c>
      <x:c r="G134" s="47" t="n">
        <x:v>0.004861111112404615</x:v>
      </x:c>
      <x:c r="H134" s="152"/>
      <x:c r="I134" s="104" t="str">
        <x:v>Não</x:v>
      </x:c>
      <x:c r="J134" s="145" t="str"/>
      <x:c r="K134" s="47" t="n">
        <x:v>0.0027777777722803876</x:v>
      </x:c>
      <x:c r="L134" s="158" t="str">
        <x:v>Bruno_Neuro_13-07</x:v>
      </x:c>
      <x:c r="M134" s="47" t="n">
        <x:v>0.004861111112404615</x:v>
      </x:c>
      <x:c r="N134" s="278"/>
    </x:row>
    <x:row r="135">
      <x:c r="A135" s="157" t="n">
        <x:v>46216</x:v>
      </x:c>
      <x:c r="B135" s="104" t="str">
        <x:v>Bruno Garrett Bento</x:v>
      </x:c>
      <x:c r="C135" s="104" t="str">
        <x:v>Neurocirurgia</x:v>
      </x:c>
      <x:c r="D135" s="104" t="str">
        <x:v>Paciente 29</x:v>
      </x:c>
      <x:c r="E135" s="46" t="n">
        <x:v>46216.666666666664</x:v>
      </x:c>
      <x:c r="F135" s="46" t="n">
        <x:v>46216.675</x:v>
      </x:c>
      <x:c r="G135" s="47" t="n">
        <x:v>0.008333333338669036</x:v>
      </x:c>
      <x:c r="H135" s="152"/>
      <x:c r="I135" s="104" t="str">
        <x:v>Não</x:v>
      </x:c>
      <x:c r="J135" s="145" t="str"/>
      <x:c r="K135" s="47" t="n">
        <x:v>0.0020833333328482695</x:v>
      </x:c>
      <x:c r="L135" s="158" t="str">
        <x:v>Bruno_Neuro_13-07</x:v>
      </x:c>
      <x:c r="M135" s="47" t="n">
        <x:v>0.008333333338669036</x:v>
      </x:c>
      <x:c r="N135" s="278"/>
    </x:row>
    <x:row r="136">
      <x:c r="A136" s="157" t="n">
        <x:v>46216</x:v>
      </x:c>
      <x:c r="B136" s="104" t="str">
        <x:v>Bruno Garrett Bento</x:v>
      </x:c>
      <x:c r="C136" s="104" t="str">
        <x:v>Neurocirurgia</x:v>
      </x:c>
      <x:c r="D136" s="104" t="str">
        <x:v>Paciente 30</x:v>
      </x:c>
      <x:c r="E136" s="46" t="n">
        <x:v>46216.677083333336</x:v>
      </x:c>
      <x:c r="F136" s="46" t="n">
        <x:v>46216.688888888886</x:v>
      </x:c>
      <x:c r="G136" s="47" t="n">
        <x:v>0.011805555550381541</x:v>
      </x:c>
      <x:c r="H136" s="152"/>
      <x:c r="I136" s="104" t="str">
        <x:v>Não</x:v>
      </x:c>
      <x:c r="J136" s="145" t="str"/>
      <x:c r="K136" s="47" t="n">
        <x:v>0.0013888888934161514</x:v>
      </x:c>
      <x:c r="L136" s="158" t="str">
        <x:v>Bruno_Neuro_13-07</x:v>
      </x:c>
      <x:c r="M136" s="47" t="n">
        <x:v>0.011805555550381541</x:v>
      </x:c>
      <x:c r="N136" s="278"/>
    </x:row>
    <x:row r="137">
      <x:c r="A137" s="157" t="n">
        <x:v>46216</x:v>
      </x:c>
      <x:c r="B137" s="104" t="str">
        <x:v>Bruno Garrett Bento</x:v>
      </x:c>
      <x:c r="C137" s="104" t="str">
        <x:v>Neurocirurgia</x:v>
      </x:c>
      <x:c r="D137" s="104" t="str">
        <x:v>Paciente 31</x:v>
      </x:c>
      <x:c r="E137" s="46" t="n">
        <x:v>46216.69027777778</x:v>
      </x:c>
      <x:c r="F137" s="46" t="n">
        <x:v>46216.69375</x:v>
      </x:c>
      <x:c r="G137" s="47" t="n">
        <x:v>0.0034722222189884633</x:v>
      </x:c>
      <x:c r="H137" s="152"/>
      <x:c r="I137" s="104" t="str">
        <x:v>Não</x:v>
      </x:c>
      <x:c r="J137" s="145" t="str"/>
      <x:c r="K137" s="47" t="n">
        <x:v>0</x:v>
      </x:c>
      <x:c r="L137" s="158" t="str">
        <x:v>Bruno_Neuro_13-07</x:v>
      </x:c>
      <x:c r="M137" s="47" t="n">
        <x:v>0.0034722222189884633</x:v>
      </x:c>
      <x:c r="N137" s="278"/>
    </x:row>
    <x:row r="138">
      <x:c r="A138" s="157" t="n">
        <x:v>46216</x:v>
      </x:c>
      <x:c r="B138" s="104" t="str">
        <x:v>Bruno Garrett Bento</x:v>
      </x:c>
      <x:c r="C138" s="104" t="str">
        <x:v>Neurocirurgia</x:v>
      </x:c>
      <x:c r="D138" s="104" t="str">
        <x:v>Paciente 32</x:v>
      </x:c>
      <x:c r="E138" s="46" t="n">
        <x:v>46216.69375</x:v>
      </x:c>
      <x:c r="F138" s="46" t="n">
        <x:v>46216.70208333333</x:v>
      </x:c>
      <x:c r="G138" s="47" t="n">
        <x:v>0.008333333331393078</x:v>
      </x:c>
      <x:c r="H138" s="152"/>
      <x:c r="I138" s="104" t="str">
        <x:v>Não</x:v>
      </x:c>
      <x:c r="J138" s="145" t="str"/>
      <x:c r="K138" s="47" t="n">
        <x:v>0</x:v>
      </x:c>
      <x:c r="L138" s="158" t="str">
        <x:v>Bruno_Neuro_13-07</x:v>
      </x:c>
      <x:c r="M138" s="47" t="n">
        <x:v>0.008333333331393078</x:v>
      </x:c>
      <x:c r="N138" s="278"/>
    </x:row>
    <x:row r="139">
      <x:c r="A139" s="157" t="n">
        <x:v>46216</x:v>
      </x:c>
      <x:c r="B139" s="104" t="str">
        <x:v>Bruno Garrett Bento</x:v>
      </x:c>
      <x:c r="C139" s="104" t="str">
        <x:v>Neurocirurgia</x:v>
      </x:c>
      <x:c r="D139" s="104" t="str">
        <x:v>Paciente 33</x:v>
      </x:c>
      <x:c r="E139" s="46" t="n">
        <x:v>46216.70208333333</x:v>
      </x:c>
      <x:c r="F139" s="46" t="n">
        <x:v>46216.70972222222</x:v>
      </x:c>
      <x:c r="G139" s="47" t="n">
        <x:v>0.00763888889196096</x:v>
      </x:c>
      <x:c r="H139" s="152"/>
      <x:c r="I139" s="104" t="str">
        <x:v>Não</x:v>
      </x:c>
      <x:c r="J139" s="145" t="str"/>
      <x:c r="K139" s="47" t="n">
        <x:v>0.0013888888861401938</x:v>
      </x:c>
      <x:c r="L139" s="158" t="str">
        <x:v>Bruno_Neuro_13-07</x:v>
      </x:c>
      <x:c r="M139" s="47" t="n">
        <x:v>0.00763888889196096</x:v>
      </x:c>
      <x:c r="N139" s="278"/>
    </x:row>
    <x:row r="140">
      <x:c r="A140" s="157" t="n">
        <x:v>46216</x:v>
      </x:c>
      <x:c r="B140" s="104" t="str">
        <x:v>Bruno Garrett Bento</x:v>
      </x:c>
      <x:c r="C140" s="104" t="str">
        <x:v>Neurocirurgia</x:v>
      </x:c>
      <x:c r="D140" s="104" t="str">
        <x:v>Paciente 34</x:v>
      </x:c>
      <x:c r="E140" s="46" t="n">
        <x:v>46216.71111111111</x:v>
      </x:c>
      <x:c r="F140" s="46" t="n">
        <x:v>46216.72430555556</x:v>
      </x:c>
      <x:c r="G140" s="47" t="n">
        <x:v>0.01319444445107365</x:v>
      </x:c>
      <x:c r="H140" s="152"/>
      <x:c r="I140" s="104" t="str">
        <x:v>Não</x:v>
      </x:c>
      <x:c r="J140" s="145" t="str"/>
      <x:c r="K140" s="47"/>
      <x:c r="L140" s="158" t="str">
        <x:v>Bruno_Neuro_13-07</x:v>
      </x:c>
      <x:c r="M140" s="47" t="n">
        <x:v>0.01319444445107365</x:v>
      </x:c>
      <x:c r="N140" s="278"/>
    </x:row>
    <x:row r="141">
      <x:c r="A141" s="157" t="n">
        <x:v>46216</x:v>
      </x:c>
      <x:c r="B141" s="104" t="str">
        <x:v>Eduardo Neves de Oliveira</x:v>
      </x:c>
      <x:c r="C141" s="104" t="str">
        <x:v>Gastroenterologia</x:v>
      </x:c>
      <x:c r="D141" s="104" t="str">
        <x:v>Paciente 1</x:v>
      </x:c>
      <x:c r="E141" s="46" t="n">
        <x:v>46216.33888888889</x:v>
      </x:c>
      <x:c r="F141" s="46" t="n">
        <x:v>46216.35138888889</x:v>
      </x:c>
      <x:c r="G141" s="47" t="n">
        <x:v>0.012500000004365575</x:v>
      </x:c>
      <x:c r="H141" s="152"/>
      <x:c r="I141" s="104" t="str">
        <x:v>Não</x:v>
      </x:c>
      <x:c r="J141" s="145" t="str"/>
      <x:c r="K141" s="47" t="n">
        <x:v>0.0006944444394321181</x:v>
      </x:c>
      <x:c r="L141" s="158" t="str">
        <x:v>Eduardo_Gastro_13-07</x:v>
      </x:c>
      <x:c r="M141" s="47" t="n">
        <x:v>0.012500000004365575</x:v>
      </x:c>
      <x:c r="N141" s="278"/>
    </x:row>
    <x:row r="142">
      <x:c r="A142" s="157" t="n">
        <x:v>46216</x:v>
      </x:c>
      <x:c r="B142" s="104" t="str">
        <x:v>Eduardo Neves de Oliveira</x:v>
      </x:c>
      <x:c r="C142" s="104" t="str">
        <x:v>Gastroenterologia</x:v>
      </x:c>
      <x:c r="D142" s="104" t="str">
        <x:v>Paciente 2</x:v>
      </x:c>
      <x:c r="E142" s="46" t="n">
        <x:v>46216.35208333333</x:v>
      </x:c>
      <x:c r="F142" s="46" t="n">
        <x:v>46216.42291666667</x:v>
      </x:c>
      <x:c r="G142" s="47" t="n">
        <x:v>0.07083333333866904</x:v>
      </x:c>
      <x:c r="H142" s="152" t="n">
        <x:v>0.003472222226264421</x:v>
      </x:c>
      <x:c r="I142" s="104" t="str">
        <x:v>Sim</x:v>
      </x:c>
      <x:c r="J142" s="145" t="str">
        <x:v>Término posterior ao início do atendimento seguinte</x:v>
      </x:c>
      <x:c r="K142" s="47" t="n">
        <x:v>0</x:v>
      </x:c>
      <x:c r="L142" s="158" t="str">
        <x:v>Eduardo_Gastro_13-07</x:v>
      </x:c>
      <x:c r="M142" s="47" t="n">
        <x:v>0.003472222226264421</x:v>
      </x:c>
      <x:c r="N142" s="278"/>
    </x:row>
    <x:row r="143">
      <x:c r="A143" s="157" t="n">
        <x:v>46216</x:v>
      </x:c>
      <x:c r="B143" s="104" t="str">
        <x:v>Eduardo Neves de Oliveira</x:v>
      </x:c>
      <x:c r="C143" s="104" t="str">
        <x:v>Gastroenterologia</x:v>
      </x:c>
      <x:c r="D143" s="104" t="str">
        <x:v>Paciente 3</x:v>
      </x:c>
      <x:c r="E143" s="46" t="n">
        <x:v>46216.35555555556</x:v>
      </x:c>
      <x:c r="F143" s="46" t="n">
        <x:v>46216.38611111111</x:v>
      </x:c>
      <x:c r="G143" s="47" t="n">
        <x:v>0.030555555553291924</x:v>
      </x:c>
      <x:c r="H143" s="152" t="n">
        <x:v>0.018749999995634425</x:v>
      </x:c>
      <x:c r="I143" s="104" t="str">
        <x:v>Sim</x:v>
      </x:c>
      <x:c r="J143" s="145" t="str">
        <x:v>Término posterior ao início do atendimento seguinte</x:v>
      </x:c>
      <x:c r="K143" s="47" t="n">
        <x:v>0</x:v>
      </x:c>
      <x:c r="L143" s="158" t="str">
        <x:v>Eduardo_Gastro_13-07</x:v>
      </x:c>
      <x:c r="M143" s="47" t="n">
        <x:v>0.018749999995634425</x:v>
      </x:c>
      <x:c r="N143" s="278"/>
    </x:row>
    <x:row r="144">
      <x:c r="A144" s="157" t="n">
        <x:v>46216</x:v>
      </x:c>
      <x:c r="B144" s="104" t="str">
        <x:v>Eduardo Neves de Oliveira</x:v>
      </x:c>
      <x:c r="C144" s="104" t="str">
        <x:v>Gastroenterologia</x:v>
      </x:c>
      <x:c r="D144" s="104" t="str">
        <x:v>Paciente 4</x:v>
      </x:c>
      <x:c r="E144" s="46" t="n">
        <x:v>46216.37430555555</x:v>
      </x:c>
      <x:c r="F144" s="46" t="n">
        <x:v>46216.384722222225</x:v>
      </x:c>
      <x:c r="G144" s="47" t="n">
        <x:v>0.010416666671517305</x:v>
      </x:c>
      <x:c r="H144" s="152"/>
      <x:c r="I144" s="104" t="str">
        <x:v>Não</x:v>
      </x:c>
      <x:c r="J144" s="145" t="str"/>
      <x:c r="K144" s="47" t="n">
        <x:v>0.0020833333328482695</x:v>
      </x:c>
      <x:c r="L144" s="158" t="str">
        <x:v>Eduardo_Gastro_13-07</x:v>
      </x:c>
      <x:c r="M144" s="47" t="n">
        <x:v>0.010416666671517305</x:v>
      </x:c>
      <x:c r="N144" s="278"/>
    </x:row>
    <x:row r="145">
      <x:c r="A145" s="157" t="n">
        <x:v>46216</x:v>
      </x:c>
      <x:c r="B145" s="104" t="str">
        <x:v>Eduardo Neves de Oliveira</x:v>
      </x:c>
      <x:c r="C145" s="104" t="str">
        <x:v>Gastroenterologia</x:v>
      </x:c>
      <x:c r="D145" s="104" t="str">
        <x:v>Paciente 5</x:v>
      </x:c>
      <x:c r="E145" s="46" t="n">
        <x:v>46216.38680555556</x:v>
      </x:c>
      <x:c r="F145" s="46" t="n">
        <x:v>46216.39791666667</x:v>
      </x:c>
      <x:c r="G145" s="47" t="n">
        <x:v>0.011111111110949423</x:v>
      </x:c>
      <x:c r="H145" s="152"/>
      <x:c r="I145" s="104" t="str">
        <x:v>Não</x:v>
      </x:c>
      <x:c r="J145" s="145" t="str"/>
      <x:c r="K145" s="47" t="n">
        <x:v>0</x:v>
      </x:c>
      <x:c r="L145" s="158" t="str">
        <x:v>Eduardo_Gastro_13-07</x:v>
      </x:c>
      <x:c r="M145" s="47" t="n">
        <x:v>0.011111111110949423</x:v>
      </x:c>
      <x:c r="N145" s="278"/>
    </x:row>
    <x:row r="146">
      <x:c r="A146" s="157" t="n">
        <x:v>46216</x:v>
      </x:c>
      <x:c r="B146" s="104" t="str">
        <x:v>Eduardo Neves de Oliveira</x:v>
      </x:c>
      <x:c r="C146" s="104" t="str">
        <x:v>Gastroenterologia</x:v>
      </x:c>
      <x:c r="D146" s="104" t="str">
        <x:v>Paciente 6</x:v>
      </x:c>
      <x:c r="E146" s="46" t="n">
        <x:v>46216.39791666667</x:v>
      </x:c>
      <x:c r="F146" s="46" t="n">
        <x:v>46216.40625</x:v>
      </x:c>
      <x:c r="G146" s="47" t="n">
        <x:v>0.008333333331393078</x:v>
      </x:c>
      <x:c r="H146" s="152"/>
      <x:c r="I146" s="104" t="str">
        <x:v>Não</x:v>
      </x:c>
      <x:c r="J146" s="145" t="str"/>
      <x:c r="K146" s="47" t="n">
        <x:v>0.0006944444467080757</x:v>
      </x:c>
      <x:c r="L146" s="158" t="str">
        <x:v>Eduardo_Gastro_13-07</x:v>
      </x:c>
      <x:c r="M146" s="47" t="n">
        <x:v>0.008333333331393078</x:v>
      </x:c>
      <x:c r="N146" s="278"/>
    </x:row>
    <x:row r="147">
      <x:c r="A147" s="157" t="n">
        <x:v>46216</x:v>
      </x:c>
      <x:c r="B147" s="104" t="str">
        <x:v>Eduardo Neves de Oliveira</x:v>
      </x:c>
      <x:c r="C147" s="104" t="str">
        <x:v>Gastroenterologia</x:v>
      </x:c>
      <x:c r="D147" s="104" t="str">
        <x:v>Paciente 7</x:v>
      </x:c>
      <x:c r="E147" s="46" t="n">
        <x:v>46216.40694444445</x:v>
      </x:c>
      <x:c r="F147" s="46" t="n">
        <x:v>46216.42013888889</x:v>
      </x:c>
      <x:c r="G147" s="47" t="n">
        <x:v>0.013194444443797693</x:v>
      </x:c>
      <x:c r="H147" s="152"/>
      <x:c r="I147" s="104" t="str">
        <x:v>Não</x:v>
      </x:c>
      <x:c r="J147" s="145" t="str"/>
      <x:c r="K147" s="47" t="n">
        <x:v>0.004166666665696539</x:v>
      </x:c>
      <x:c r="L147" s="158" t="str">
        <x:v>Eduardo_Gastro_13-07</x:v>
      </x:c>
      <x:c r="M147" s="47" t="n">
        <x:v>0.013194444443797693</x:v>
      </x:c>
      <x:c r="N147" s="278"/>
    </x:row>
    <x:row r="148">
      <x:c r="A148" s="157" t="n">
        <x:v>46216</x:v>
      </x:c>
      <x:c r="B148" s="104" t="str">
        <x:v>Eduardo Neves de Oliveira</x:v>
      </x:c>
      <x:c r="C148" s="104" t="str">
        <x:v>Gastroenterologia</x:v>
      </x:c>
      <x:c r="D148" s="104" t="str">
        <x:v>Paciente 8</x:v>
      </x:c>
      <x:c r="E148" s="46" t="n">
        <x:v>46216.424305555556</x:v>
      </x:c>
      <x:c r="F148" s="46" t="n">
        <x:v>46216.42986111111</x:v>
      </x:c>
      <x:c r="G148" s="47" t="n">
        <x:v>0.005555555551836733</x:v>
      </x:c>
      <x:c r="H148" s="152"/>
      <x:c r="I148" s="104" t="str">
        <x:v>Não</x:v>
      </x:c>
      <x:c r="J148" s="145" t="str"/>
      <x:c r="K148" s="47" t="n">
        <x:v>0.0006944444467080757</x:v>
      </x:c>
      <x:c r="L148" s="158" t="str">
        <x:v>Eduardo_Gastro_13-07</x:v>
      </x:c>
      <x:c r="M148" s="47" t="n">
        <x:v>0.005555555551836733</x:v>
      </x:c>
      <x:c r="N148" s="278"/>
    </x:row>
    <x:row r="149">
      <x:c r="A149" s="157" t="n">
        <x:v>46216</x:v>
      </x:c>
      <x:c r="B149" s="104" t="str">
        <x:v>Eduardo Neves de Oliveira</x:v>
      </x:c>
      <x:c r="C149" s="104" t="str">
        <x:v>Gastroenterologia</x:v>
      </x:c>
      <x:c r="D149" s="104" t="str">
        <x:v>Paciente 9</x:v>
      </x:c>
      <x:c r="E149" s="46" t="n">
        <x:v>46216.430555555555</x:v>
      </x:c>
      <x:c r="F149" s="46" t="n">
        <x:v>46216.43541666667</x:v>
      </x:c>
      <x:c r="G149" s="47" t="n">
        <x:v>0.004861111112404615</x:v>
      </x:c>
      <x:c r="H149" s="152"/>
      <x:c r="I149" s="104" t="str">
        <x:v>Não</x:v>
      </x:c>
      <x:c r="J149" s="145" t="str"/>
      <x:c r="K149" s="47" t="n">
        <x:v>0.012499999997089617</x:v>
      </x:c>
      <x:c r="L149" s="158" t="str">
        <x:v>Eduardo_Gastro_13-07</x:v>
      </x:c>
      <x:c r="M149" s="47" t="n">
        <x:v>0.004861111112404615</x:v>
      </x:c>
      <x:c r="N149" s="278"/>
    </x:row>
    <x:row r="150">
      <x:c r="A150" s="157" t="n">
        <x:v>46216</x:v>
      </x:c>
      <x:c r="B150" s="104" t="str">
        <x:v>Eduardo Neves de Oliveira</x:v>
      </x:c>
      <x:c r="C150" s="104" t="str">
        <x:v>Gastroenterologia</x:v>
      </x:c>
      <x:c r="D150" s="104" t="str">
        <x:v>Paciente 10</x:v>
      </x:c>
      <x:c r="E150" s="46" t="n">
        <x:v>46216.447916666664</x:v>
      </x:c>
      <x:c r="F150" s="46" t="n">
        <x:v>46216.45625</x:v>
      </x:c>
      <x:c r="G150" s="47" t="n">
        <x:v>0.008333333338669036</x:v>
      </x:c>
      <x:c r="H150" s="152"/>
      <x:c r="I150" s="104" t="str">
        <x:v>Não</x:v>
      </x:c>
      <x:c r="J150" s="145" t="str"/>
      <x:c r="K150" s="47" t="n">
        <x:v>0.0020833333328482695</x:v>
      </x:c>
      <x:c r="L150" s="158" t="str">
        <x:v>Eduardo_Gastro_13-07</x:v>
      </x:c>
      <x:c r="M150" s="47" t="n">
        <x:v>0.008333333338669036</x:v>
      </x:c>
      <x:c r="N150" s="278"/>
    </x:row>
    <x:row r="151">
      <x:c r="A151" s="157" t="n">
        <x:v>46216</x:v>
      </x:c>
      <x:c r="B151" s="104" t="str">
        <x:v>Eduardo Neves de Oliveira</x:v>
      </x:c>
      <x:c r="C151" s="104" t="str">
        <x:v>Gastroenterologia</x:v>
      </x:c>
      <x:c r="D151" s="104" t="str">
        <x:v>Paciente 11</x:v>
      </x:c>
      <x:c r="E151" s="46" t="n">
        <x:v>46216.458333333336</x:v>
      </x:c>
      <x:c r="F151" s="46" t="n">
        <x:v>46216.46527777778</x:v>
      </x:c>
      <x:c r="G151" s="47" t="n">
        <x:v>0.006944444445252884</x:v>
      </x:c>
      <x:c r="H151" s="152"/>
      <x:c r="I151" s="104" t="str">
        <x:v>Não</x:v>
      </x:c>
      <x:c r="J151" s="145" t="str"/>
      <x:c r="K151" s="47" t="n">
        <x:v>0.0006944444394321181</x:v>
      </x:c>
      <x:c r="L151" s="158" t="str">
        <x:v>Eduardo_Gastro_13-07</x:v>
      </x:c>
      <x:c r="M151" s="47" t="n">
        <x:v>0.006944444445252884</x:v>
      </x:c>
      <x:c r="N151" s="278"/>
    </x:row>
    <x:row r="152">
      <x:c r="A152" s="157" t="n">
        <x:v>46216</x:v>
      </x:c>
      <x:c r="B152" s="104" t="str">
        <x:v>Eduardo Neves de Oliveira</x:v>
      </x:c>
      <x:c r="C152" s="104" t="str">
        <x:v>Gastroenterologia</x:v>
      </x:c>
      <x:c r="D152" s="104" t="str">
        <x:v>Paciente 12</x:v>
      </x:c>
      <x:c r="E152" s="46" t="n">
        <x:v>46216.46597222222</x:v>
      </x:c>
      <x:c r="F152" s="46" t="n">
        <x:v>46216.47361111111</x:v>
      </x:c>
      <x:c r="G152" s="47" t="n">
        <x:v>0.00763888889196096</x:v>
      </x:c>
      <x:c r="H152" s="152"/>
      <x:c r="I152" s="104" t="str">
        <x:v>Não</x:v>
      </x:c>
      <x:c r="J152" s="145" t="str"/>
      <x:c r="K152" s="47" t="n">
        <x:v>0.0013888888861401938</x:v>
      </x:c>
      <x:c r="L152" s="158" t="str">
        <x:v>Eduardo_Gastro_13-07</x:v>
      </x:c>
      <x:c r="M152" s="47" t="n">
        <x:v>0.00763888889196096</x:v>
      </x:c>
      <x:c r="N152" s="278"/>
    </x:row>
    <x:row r="153">
      <x:c r="A153" s="157" t="n">
        <x:v>46216</x:v>
      </x:c>
      <x:c r="B153" s="104" t="str">
        <x:v>Eduardo Neves de Oliveira</x:v>
      </x:c>
      <x:c r="C153" s="104" t="str">
        <x:v>Gastroenterologia</x:v>
      </x:c>
      <x:c r="D153" s="104" t="str">
        <x:v>Paciente 13</x:v>
      </x:c>
      <x:c r="E153" s="46" t="n">
        <x:v>46216.475</x:v>
      </x:c>
      <x:c r="F153" s="46" t="n">
        <x:v>46216.48263888889</x:v>
      </x:c>
      <x:c r="G153" s="47" t="n">
        <x:v>0.00763888889196096</x:v>
      </x:c>
      <x:c r="H153" s="152"/>
      <x:c r="I153" s="104" t="str">
        <x:v>Não</x:v>
      </x:c>
      <x:c r="J153" s="145" t="str"/>
      <x:c r="K153" s="47" t="n">
        <x:v>0.0013888888861401938</x:v>
      </x:c>
      <x:c r="L153" s="158" t="str">
        <x:v>Eduardo_Gastro_13-07</x:v>
      </x:c>
      <x:c r="M153" s="47" t="n">
        <x:v>0.00763888889196096</x:v>
      </x:c>
      <x:c r="N153" s="278"/>
    </x:row>
    <x:row r="154">
      <x:c r="A154" s="157" t="n">
        <x:v>46216</x:v>
      </x:c>
      <x:c r="B154" s="104" t="str">
        <x:v>Eduardo Neves de Oliveira</x:v>
      </x:c>
      <x:c r="C154" s="104" t="str">
        <x:v>Gastroenterologia</x:v>
      </x:c>
      <x:c r="D154" s="104" t="str">
        <x:v>Paciente 14</x:v>
      </x:c>
      <x:c r="E154" s="46" t="n">
        <x:v>46216.48402777778</x:v>
      </x:c>
      <x:c r="F154" s="46" t="n">
        <x:v>46216.49166666667</x:v>
      </x:c>
      <x:c r="G154" s="47" t="n">
        <x:v>0.00763888889196096</x:v>
      </x:c>
      <x:c r="H154" s="152"/>
      <x:c r="I154" s="104" t="str">
        <x:v>Não</x:v>
      </x:c>
      <x:c r="J154" s="145" t="str"/>
      <x:c r="K154" s="47" t="n">
        <x:v>0.0013888888861401938</x:v>
      </x:c>
      <x:c r="L154" s="158" t="str">
        <x:v>Eduardo_Gastro_13-07</x:v>
      </x:c>
      <x:c r="M154" s="47" t="n">
        <x:v>0.00763888889196096</x:v>
      </x:c>
      <x:c r="N154" s="278"/>
    </x:row>
    <x:row r="155">
      <x:c r="A155" s="157" t="n">
        <x:v>46216</x:v>
      </x:c>
      <x:c r="B155" s="104" t="str">
        <x:v>Eduardo Neves de Oliveira</x:v>
      </x:c>
      <x:c r="C155" s="104" t="str">
        <x:v>Gastroenterologia</x:v>
      </x:c>
      <x:c r="D155" s="104" t="str">
        <x:v>Paciente 15</x:v>
      </x:c>
      <x:c r="E155" s="46" t="n">
        <x:v>46216.493055555555</x:v>
      </x:c>
      <x:c r="F155" s="46" t="n">
        <x:v>46216.50069444445</x:v>
      </x:c>
      <x:c r="G155" s="47" t="n">
        <x:v>0.00763888889196096</x:v>
      </x:c>
      <x:c r="H155" s="152"/>
      <x:c r="I155" s="104" t="str">
        <x:v>Não</x:v>
      </x:c>
      <x:c r="J155" s="145" t="str"/>
      <x:c r="K155" s="47" t="n">
        <x:v>0.0006944444394321181</x:v>
      </x:c>
      <x:c r="L155" s="158" t="str">
        <x:v>Eduardo_Gastro_13-07</x:v>
      </x:c>
      <x:c r="M155" s="47" t="n">
        <x:v>0.00763888889196096</x:v>
      </x:c>
      <x:c r="N155" s="278"/>
    </x:row>
    <x:row r="156">
      <x:c r="A156" s="157" t="n">
        <x:v>46216</x:v>
      </x:c>
      <x:c r="B156" s="104" t="str">
        <x:v>Eduardo Neves de Oliveira</x:v>
      </x:c>
      <x:c r="C156" s="104" t="str">
        <x:v>Gastroenterologia</x:v>
      </x:c>
      <x:c r="D156" s="104" t="str">
        <x:v>Paciente 16</x:v>
      </x:c>
      <x:c r="E156" s="46" t="n">
        <x:v>46216.501388888886</x:v>
      </x:c>
      <x:c r="F156" s="46" t="n">
        <x:v>46216.510416666664</x:v>
      </x:c>
      <x:c r="G156" s="47" t="n">
        <x:v>0.009027777778101154</x:v>
      </x:c>
      <x:c r="H156" s="152"/>
      <x:c r="I156" s="104" t="str">
        <x:v>Não</x:v>
      </x:c>
      <x:c r="J156" s="145" t="str"/>
      <x:c r="K156" s="47" t="n">
        <x:v>0.016666666670062114</x:v>
      </x:c>
      <x:c r="L156" s="158" t="str">
        <x:v>Eduardo_Gastro_13-07</x:v>
      </x:c>
      <x:c r="M156" s="47" t="n">
        <x:v>0.009027777778101154</x:v>
      </x:c>
      <x:c r="N156" s="278"/>
    </x:row>
    <x:row r="157">
      <x:c r="A157" s="157" t="n">
        <x:v>46216</x:v>
      </x:c>
      <x:c r="B157" s="104" t="str">
        <x:v>Eduardo Neves de Oliveira</x:v>
      </x:c>
      <x:c r="C157" s="104" t="str">
        <x:v>Gastroenterologia</x:v>
      </x:c>
      <x:c r="D157" s="104" t="str">
        <x:v>Paciente 17</x:v>
      </x:c>
      <x:c r="E157" s="46" t="n">
        <x:v>46216.527083333334</x:v>
      </x:c>
      <x:c r="F157" s="46" t="n">
        <x:v>46216.53958333333</x:v>
      </x:c>
      <x:c r="G157" s="47" t="n">
        <x:v>0.012499999997089617</x:v>
      </x:c>
      <x:c r="H157" s="152"/>
      <x:c r="I157" s="104" t="str">
        <x:v>Não</x:v>
      </x:c>
      <x:c r="J157" s="145" t="str"/>
      <x:c r="K157" s="47" t="n">
        <x:v>0.0006944444467080757</x:v>
      </x:c>
      <x:c r="L157" s="158" t="str">
        <x:v>Eduardo_Gastro_13-07</x:v>
      </x:c>
      <x:c r="M157" s="47" t="n">
        <x:v>0.012499999997089617</x:v>
      </x:c>
      <x:c r="N157" s="278"/>
    </x:row>
    <x:row r="158">
      <x:c r="A158" s="157" t="n">
        <x:v>46216</x:v>
      </x:c>
      <x:c r="B158" s="104" t="str">
        <x:v>Eduardo Neves de Oliveira</x:v>
      </x:c>
      <x:c r="C158" s="104" t="str">
        <x:v>Gastroenterologia</x:v>
      </x:c>
      <x:c r="D158" s="104" t="str">
        <x:v>Paciente 18</x:v>
      </x:c>
      <x:c r="E158" s="46" t="n">
        <x:v>46216.54027777778</x:v>
      </x:c>
      <x:c r="F158" s="46" t="n">
        <x:v>46216.55</x:v>
      </x:c>
      <x:c r="G158" s="47" t="n">
        <x:v>0.00972222222480923</x:v>
      </x:c>
      <x:c r="H158" s="152"/>
      <x:c r="I158" s="104" t="str">
        <x:v>Não</x:v>
      </x:c>
      <x:c r="J158" s="145" t="str"/>
      <x:c r="K158" s="47" t="n">
        <x:v>0.0006944444394321181</x:v>
      </x:c>
      <x:c r="L158" s="158" t="str">
        <x:v>Eduardo_Gastro_13-07</x:v>
      </x:c>
      <x:c r="M158" s="47" t="n">
        <x:v>0.00972222222480923</x:v>
      </x:c>
      <x:c r="N158" s="278"/>
    </x:row>
    <x:row r="159">
      <x:c r="A159" s="157" t="n">
        <x:v>46216</x:v>
      </x:c>
      <x:c r="B159" s="104" t="str">
        <x:v>Eduardo Neves de Oliveira</x:v>
      </x:c>
      <x:c r="C159" s="104" t="str">
        <x:v>Gastroenterologia</x:v>
      </x:c>
      <x:c r="D159" s="104" t="str">
        <x:v>Paciente 19</x:v>
      </x:c>
      <x:c r="E159" s="46" t="n">
        <x:v>46216.55069444444</x:v>
      </x:c>
      <x:c r="F159" s="46" t="n">
        <x:v>46216.56319444445</x:v>
      </x:c>
      <x:c r="G159" s="47" t="n">
        <x:v>0.012500000004365575</x:v>
      </x:c>
      <x:c r="H159" s="152"/>
      <x:c r="I159" s="104" t="str">
        <x:v>Não</x:v>
      </x:c>
      <x:c r="J159" s="145" t="str"/>
      <x:c r="K159" s="47" t="n">
        <x:v>0.0020833333328482695</x:v>
      </x:c>
      <x:c r="L159" s="158" t="str">
        <x:v>Eduardo_Gastro_13-07</x:v>
      </x:c>
      <x:c r="M159" s="47" t="n">
        <x:v>0.012500000004365575</x:v>
      </x:c>
      <x:c r="N159" s="278"/>
    </x:row>
    <x:row r="160">
      <x:c r="A160" s="157" t="n">
        <x:v>46216</x:v>
      </x:c>
      <x:c r="B160" s="104" t="str">
        <x:v>Eduardo Neves de Oliveira</x:v>
      </x:c>
      <x:c r="C160" s="104" t="str">
        <x:v>Gastroenterologia</x:v>
      </x:c>
      <x:c r="D160" s="104" t="str">
        <x:v>Paciente 20</x:v>
      </x:c>
      <x:c r="E160" s="46" t="n">
        <x:v>46216.56527777778</x:v>
      </x:c>
      <x:c r="F160" s="46" t="n">
        <x:v>46216.580555555556</x:v>
      </x:c>
      <x:c r="G160" s="47" t="n">
        <x:v>0.015277777776645962</x:v>
      </x:c>
      <x:c r="H160" s="152"/>
      <x:c r="I160" s="104" t="str">
        <x:v>Não</x:v>
      </x:c>
      <x:c r="J160" s="145" t="str"/>
      <x:c r="K160" s="47" t="n">
        <x:v>0.0013888888861401938</x:v>
      </x:c>
      <x:c r="L160" s="158" t="str">
        <x:v>Eduardo_Gastro_13-07</x:v>
      </x:c>
      <x:c r="M160" s="47" t="n">
        <x:v>0.015277777776645962</x:v>
      </x:c>
      <x:c r="N160" s="278"/>
    </x:row>
    <x:row r="161">
      <x:c r="A161" s="157" t="n">
        <x:v>46216</x:v>
      </x:c>
      <x:c r="B161" s="104" t="str">
        <x:v>Eduardo Neves de Oliveira</x:v>
      </x:c>
      <x:c r="C161" s="104" t="str">
        <x:v>Gastroenterologia</x:v>
      </x:c>
      <x:c r="D161" s="104" t="str">
        <x:v>Paciente 21</x:v>
      </x:c>
      <x:c r="E161" s="46" t="n">
        <x:v>46216.58194444444</x:v>
      </x:c>
      <x:c r="F161" s="46" t="n">
        <x:v>46216.59652777778</x:v>
      </x:c>
      <x:c r="G161" s="47" t="n">
        <x:v>0.014583333337213844</x:v>
      </x:c>
      <x:c r="H161" s="152"/>
      <x:c r="I161" s="104" t="str">
        <x:v>Não</x:v>
      </x:c>
      <x:c r="J161" s="145" t="str"/>
      <x:c r="K161" s="47" t="n">
        <x:v>0.0020833333328482695</x:v>
      </x:c>
      <x:c r="L161" s="158" t="str">
        <x:v>Eduardo_Gastro_13-07</x:v>
      </x:c>
      <x:c r="M161" s="47" t="n">
        <x:v>0.014583333337213844</x:v>
      </x:c>
      <x:c r="N161" s="278"/>
    </x:row>
    <x:row r="162">
      <x:c r="A162" s="157" t="n">
        <x:v>46216</x:v>
      </x:c>
      <x:c r="B162" s="104" t="str">
        <x:v>Eduardo Neves de Oliveira</x:v>
      </x:c>
      <x:c r="C162" s="104" t="str">
        <x:v>Gastroenterologia</x:v>
      </x:c>
      <x:c r="D162" s="104" t="str">
        <x:v>Paciente 22</x:v>
      </x:c>
      <x:c r="E162" s="46" t="n">
        <x:v>46216.59861111111</x:v>
      </x:c>
      <x:c r="F162" s="46" t="n">
        <x:v>46216.606944444444</x:v>
      </x:c>
      <x:c r="G162" s="47" t="n">
        <x:v>0.008333333331393078</x:v>
      </x:c>
      <x:c r="H162" s="152"/>
      <x:c r="I162" s="104" t="str">
        <x:v>Não</x:v>
      </x:c>
      <x:c r="J162" s="145" t="str"/>
      <x:c r="K162" s="47" t="n">
        <x:v>0.0020833333328482695</x:v>
      </x:c>
      <x:c r="L162" s="158" t="str">
        <x:v>Eduardo_Gastro_13-07</x:v>
      </x:c>
      <x:c r="M162" s="47" t="n">
        <x:v>0.008333333331393078</x:v>
      </x:c>
      <x:c r="N162" s="278"/>
    </x:row>
    <x:row r="163">
      <x:c r="A163" s="157" t="n">
        <x:v>46216</x:v>
      </x:c>
      <x:c r="B163" s="104" t="str">
        <x:v>Eduardo Neves de Oliveira</x:v>
      </x:c>
      <x:c r="C163" s="104" t="str">
        <x:v>Gastroenterologia</x:v>
      </x:c>
      <x:c r="D163" s="104" t="str">
        <x:v>Paciente 23</x:v>
      </x:c>
      <x:c r="E163" s="46" t="n">
        <x:v>46216.60902777778</x:v>
      </x:c>
      <x:c r="F163" s="46" t="n">
        <x:v>46216.62291666667</x:v>
      </x:c>
      <x:c r="G163" s="47" t="n">
        <x:v>0.013888888890505768</x:v>
      </x:c>
      <x:c r="H163" s="152"/>
      <x:c r="I163" s="104" t="str">
        <x:v>Não</x:v>
      </x:c>
      <x:c r="J163" s="145" t="str"/>
      <x:c r="K163" s="47" t="n">
        <x:v>0.0006944444467080757</x:v>
      </x:c>
      <x:c r="L163" s="158" t="str">
        <x:v>Eduardo_Gastro_13-07</x:v>
      </x:c>
      <x:c r="M163" s="47" t="n">
        <x:v>0.013888888890505768</x:v>
      </x:c>
      <x:c r="N163" s="278"/>
    </x:row>
    <x:row r="164">
      <x:c r="A164" s="157" t="n">
        <x:v>46216</x:v>
      </x:c>
      <x:c r="B164" s="104" t="str">
        <x:v>Eduardo Neves de Oliveira</x:v>
      </x:c>
      <x:c r="C164" s="104" t="str">
        <x:v>Gastroenterologia</x:v>
      </x:c>
      <x:c r="D164" s="104" t="str">
        <x:v>Paciente 24</x:v>
      </x:c>
      <x:c r="E164" s="46" t="n">
        <x:v>46216.623611111114</x:v>
      </x:c>
      <x:c r="F164" s="46" t="n">
        <x:v>46216.62986111111</x:v>
      </x:c>
      <x:c r="G164" s="47" t="n">
        <x:v>0.0062499999985448085</x:v>
      </x:c>
      <x:c r="H164" s="152"/>
      <x:c r="I164" s="104" t="str">
        <x:v>Não</x:v>
      </x:c>
      <x:c r="J164" s="145" t="str"/>
      <x:c r="K164" s="47" t="n">
        <x:v>0.004861111112404615</x:v>
      </x:c>
      <x:c r="L164" s="158" t="str">
        <x:v>Eduardo_Gastro_13-07</x:v>
      </x:c>
      <x:c r="M164" s="47" t="n">
        <x:v>0.0062499999985448085</x:v>
      </x:c>
      <x:c r="N164" s="278"/>
    </x:row>
    <x:row r="165">
      <x:c r="A165" s="157" t="n">
        <x:v>46216</x:v>
      </x:c>
      <x:c r="B165" s="104" t="str">
        <x:v>Eduardo Neves de Oliveira</x:v>
      </x:c>
      <x:c r="C165" s="104" t="str">
        <x:v>Gastroenterologia</x:v>
      </x:c>
      <x:c r="D165" s="104" t="str">
        <x:v>Paciente 25</x:v>
      </x:c>
      <x:c r="E165" s="46" t="n">
        <x:v>46216.634722222225</x:v>
      </x:c>
      <x:c r="F165" s="46" t="n">
        <x:v>46216.64513888889</x:v>
      </x:c>
      <x:c r="G165" s="47" t="n">
        <x:v>0.010416666664241347</x:v>
      </x:c>
      <x:c r="H165" s="152"/>
      <x:c r="I165" s="104" t="str">
        <x:v>Não</x:v>
      </x:c>
      <x:c r="J165" s="145" t="str"/>
      <x:c r="K165" s="47" t="n">
        <x:v>0.0020833333328482695</x:v>
      </x:c>
      <x:c r="L165" s="158" t="str">
        <x:v>Eduardo_Gastro_13-07</x:v>
      </x:c>
      <x:c r="M165" s="47" t="n">
        <x:v>0.010416666664241347</x:v>
      </x:c>
      <x:c r="N165" s="278"/>
    </x:row>
    <x:row r="166">
      <x:c r="A166" s="157" t="n">
        <x:v>46216</x:v>
      </x:c>
      <x:c r="B166" s="104" t="str">
        <x:v>Eduardo Neves de Oliveira</x:v>
      </x:c>
      <x:c r="C166" s="104" t="str">
        <x:v>Gastroenterologia</x:v>
      </x:c>
      <x:c r="D166" s="104" t="str">
        <x:v>Paciente 26</x:v>
      </x:c>
      <x:c r="E166" s="46" t="n">
        <x:v>46216.64722222222</x:v>
      </x:c>
      <x:c r="F166" s="46" t="n">
        <x:v>46216.66111111111</x:v>
      </x:c>
      <x:c r="G166" s="47" t="n">
        <x:v>0.013888888890505768</x:v>
      </x:c>
      <x:c r="H166" s="152"/>
      <x:c r="I166" s="104" t="str">
        <x:v>Não</x:v>
      </x:c>
      <x:c r="J166" s="145" t="str"/>
      <x:c r="K166" s="47" t="n">
        <x:v>0</x:v>
      </x:c>
      <x:c r="L166" s="158" t="str">
        <x:v>Eduardo_Gastro_13-07</x:v>
      </x:c>
      <x:c r="M166" s="47" t="n">
        <x:v>0.013888888890505768</x:v>
      </x:c>
      <x:c r="N166" s="278"/>
    </x:row>
    <x:row r="167">
      <x:c r="A167" s="157" t="n">
        <x:v>46216</x:v>
      </x:c>
      <x:c r="B167" s="104" t="str">
        <x:v>Eduardo Neves de Oliveira</x:v>
      </x:c>
      <x:c r="C167" s="104" t="str">
        <x:v>Gastroenterologia</x:v>
      </x:c>
      <x:c r="D167" s="104" t="str">
        <x:v>Paciente 27</x:v>
      </x:c>
      <x:c r="E167" s="46" t="n">
        <x:v>46216.66111111111</x:v>
      </x:c>
      <x:c r="F167" s="46" t="n">
        <x:v>46216.67013888889</x:v>
      </x:c>
      <x:c r="G167" s="47" t="n">
        <x:v>0.009027777778101154</x:v>
      </x:c>
      <x:c r="H167" s="152"/>
      <x:c r="I167" s="104" t="str">
        <x:v>Não</x:v>
      </x:c>
      <x:c r="J167" s="145" t="str"/>
      <x:c r="K167" s="47" t="n">
        <x:v>0.009722222217533272</x:v>
      </x:c>
      <x:c r="L167" s="158" t="str">
        <x:v>Eduardo_Gastro_13-07</x:v>
      </x:c>
      <x:c r="M167" s="47" t="n">
        <x:v>0.009027777778101154</x:v>
      </x:c>
      <x:c r="N167" s="278"/>
    </x:row>
    <x:row r="168">
      <x:c r="A168" s="157" t="n">
        <x:v>46216</x:v>
      </x:c>
      <x:c r="B168" s="104" t="str">
        <x:v>Eduardo Neves de Oliveira</x:v>
      </x:c>
      <x:c r="C168" s="104" t="str">
        <x:v>Gastroenterologia</x:v>
      </x:c>
      <x:c r="D168" s="104" t="str">
        <x:v>Paciente 28</x:v>
      </x:c>
      <x:c r="E168" s="46" t="n">
        <x:v>46216.67986111111</x:v>
      </x:c>
      <x:c r="F168" s="46" t="n">
        <x:v>46216.6875</x:v>
      </x:c>
      <x:c r="G168" s="47" t="n">
        <x:v>0.00763888889196096</x:v>
      </x:c>
      <x:c r="H168" s="152"/>
      <x:c r="I168" s="104" t="str">
        <x:v>Não</x:v>
      </x:c>
      <x:c r="J168" s="145" t="str"/>
      <x:c r="K168" s="47" t="n">
        <x:v>0.0013888888861401938</x:v>
      </x:c>
      <x:c r="L168" s="158" t="str">
        <x:v>Eduardo_Gastro_13-07</x:v>
      </x:c>
      <x:c r="M168" s="47" t="n">
        <x:v>0.00763888889196096</x:v>
      </x:c>
      <x:c r="N168" s="278"/>
    </x:row>
    <x:row r="169">
      <x:c r="A169" s="157" t="n">
        <x:v>46216</x:v>
      </x:c>
      <x:c r="B169" s="104" t="str">
        <x:v>Eduardo Neves de Oliveira</x:v>
      </x:c>
      <x:c r="C169" s="104" t="str">
        <x:v>Gastroenterologia</x:v>
      </x:c>
      <x:c r="D169" s="104" t="str">
        <x:v>Paciente 29</x:v>
      </x:c>
      <x:c r="E169" s="46" t="n">
        <x:v>46216.688888888886</x:v>
      </x:c>
      <x:c r="F169" s="46" t="n">
        <x:v>46216.69583333333</x:v>
      </x:c>
      <x:c r="G169" s="47" t="n">
        <x:v>0.006944444445252884</x:v>
      </x:c>
      <x:c r="H169" s="152"/>
      <x:c r="I169" s="104" t="str">
        <x:v>Não</x:v>
      </x:c>
      <x:c r="J169" s="145" t="str"/>
      <x:c r="K169" s="47" t="n">
        <x:v>0</x:v>
      </x:c>
      <x:c r="L169" s="158" t="str">
        <x:v>Eduardo_Gastro_13-07</x:v>
      </x:c>
      <x:c r="M169" s="47" t="n">
        <x:v>0.006944444445252884</x:v>
      </x:c>
      <x:c r="N169" s="278"/>
    </x:row>
    <x:row r="170">
      <x:c r="A170" s="157" t="n">
        <x:v>46216</x:v>
      </x:c>
      <x:c r="B170" s="104" t="str">
        <x:v>Eduardo Neves de Oliveira</x:v>
      </x:c>
      <x:c r="C170" s="104" t="str">
        <x:v>Gastroenterologia</x:v>
      </x:c>
      <x:c r="D170" s="104" t="str">
        <x:v>Paciente 30</x:v>
      </x:c>
      <x:c r="E170" s="46" t="n">
        <x:v>46216.69583333333</x:v>
      </x:c>
      <x:c r="F170" s="46" t="n">
        <x:v>46216.70972222222</x:v>
      </x:c>
      <x:c r="G170" s="47" t="n">
        <x:v>0.013888888890505768</x:v>
      </x:c>
      <x:c r="H170" s="152"/>
      <x:c r="I170" s="104" t="str">
        <x:v>Não</x:v>
      </x:c>
      <x:c r="J170" s="145" t="str"/>
      <x:c r="K170" s="47" t="n">
        <x:v>0.0006944444467080757</x:v>
      </x:c>
      <x:c r="L170" s="158" t="str">
        <x:v>Eduardo_Gastro_13-07</x:v>
      </x:c>
      <x:c r="M170" s="47" t="n">
        <x:v>0.013888888890505768</x:v>
      </x:c>
      <x:c r="N170" s="278"/>
    </x:row>
    <x:row r="171">
      <x:c r="A171" s="157" t="n">
        <x:v>46216</x:v>
      </x:c>
      <x:c r="B171" s="104" t="str">
        <x:v>Eduardo Neves de Oliveira</x:v>
      </x:c>
      <x:c r="C171" s="104" t="str">
        <x:v>Gastroenterologia</x:v>
      </x:c>
      <x:c r="D171" s="104" t="str">
        <x:v>Paciente 31</x:v>
      </x:c>
      <x:c r="E171" s="46" t="n">
        <x:v>46216.71041666667</x:v>
      </x:c>
      <x:c r="F171" s="46" t="n">
        <x:v>46216.717361111114</x:v>
      </x:c>
      <x:c r="G171" s="47" t="n">
        <x:v>0.006944444445252884</x:v>
      </x:c>
      <x:c r="H171" s="152"/>
      <x:c r="I171" s="104" t="str">
        <x:v>Não</x:v>
      </x:c>
      <x:c r="J171" s="145" t="str"/>
      <x:c r="K171" s="47"/>
      <x:c r="L171" s="158" t="str">
        <x:v>Eduardo_Gastro_13-07</x:v>
      </x:c>
      <x:c r="M171" s="47" t="n">
        <x:v>0.006944444445252884</x:v>
      </x:c>
      <x:c r="N171" s="278"/>
    </x:row>
    <x:row r="172">
      <x:c r="A172" s="157" t="n">
        <x:v>46216</x:v>
      </x:c>
      <x:c r="B172" s="104" t="str">
        <x:v>Naira Vanessa Anoma</x:v>
      </x:c>
      <x:c r="C172" s="104" t="str">
        <x:v>Pediatria</x:v>
      </x:c>
      <x:c r="D172" s="104" t="str">
        <x:v>Paciente 1</x:v>
      </x:c>
      <x:c r="E172" s="46" t="n">
        <x:v>46216.342361111114</x:v>
      </x:c>
      <x:c r="F172" s="46" t="n">
        <x:v>46216.37291666667</x:v>
      </x:c>
      <x:c r="G172" s="47" t="n">
        <x:v>0.030555555553291924</x:v>
      </x:c>
      <x:c r="H172" s="152"/>
      <x:c r="I172" s="104" t="str">
        <x:v>Não</x:v>
      </x:c>
      <x:c r="J172" s="145" t="str"/>
      <x:c r="K172" s="47" t="n">
        <x:v>0</x:v>
      </x:c>
      <x:c r="L172" s="158" t="str">
        <x:v>Naira_Pediatria_13-07</x:v>
      </x:c>
      <x:c r="M172" s="47" t="n">
        <x:v>0.030555555553291924</x:v>
      </x:c>
      <x:c r="N172" s="278"/>
    </x:row>
    <x:row r="173">
      <x:c r="A173" s="157" t="n">
        <x:v>46216</x:v>
      </x:c>
      <x:c r="B173" s="104" t="str">
        <x:v>Naira Vanessa Anoma</x:v>
      </x:c>
      <x:c r="C173" s="104" t="str">
        <x:v>Pediatria</x:v>
      </x:c>
      <x:c r="D173" s="104" t="str">
        <x:v>Paciente 2</x:v>
      </x:c>
      <x:c r="E173" s="46" t="n">
        <x:v>46216.37291666667</x:v>
      </x:c>
      <x:c r="F173" s="46" t="n">
        <x:v>46216.38333333333</x:v>
      </x:c>
      <x:c r="G173" s="47" t="n">
        <x:v>0.010416666664241347</x:v>
      </x:c>
      <x:c r="H173" s="152"/>
      <x:c r="I173" s="104" t="str">
        <x:v>Não</x:v>
      </x:c>
      <x:c r="J173" s="145" t="str"/>
      <x:c r="K173" s="47" t="n">
        <x:v>0.0020833333328482695</x:v>
      </x:c>
      <x:c r="L173" s="158" t="str">
        <x:v>Naira_Pediatria_13-07</x:v>
      </x:c>
      <x:c r="M173" s="47" t="n">
        <x:v>0.010416666664241347</x:v>
      </x:c>
      <x:c r="N173" s="278"/>
    </x:row>
    <x:row r="174">
      <x:c r="A174" s="157" t="n">
        <x:v>46216</x:v>
      </x:c>
      <x:c r="B174" s="104" t="str">
        <x:v>Naira Vanessa Anoma</x:v>
      </x:c>
      <x:c r="C174" s="104" t="str">
        <x:v>Pediatria</x:v>
      </x:c>
      <x:c r="D174" s="104" t="str">
        <x:v>Paciente 3</x:v>
      </x:c>
      <x:c r="E174" s="46" t="n">
        <x:v>46216.385416666664</x:v>
      </x:c>
      <x:c r="F174" s="46" t="n">
        <x:v>46216.396527777775</x:v>
      </x:c>
      <x:c r="G174" s="47" t="n">
        <x:v>0.011111111110949423</x:v>
      </x:c>
      <x:c r="H174" s="152"/>
      <x:c r="I174" s="104" t="str">
        <x:v>Não</x:v>
      </x:c>
      <x:c r="J174" s="145" t="str"/>
      <x:c r="K174" s="47" t="n">
        <x:v>0.0020833333328482695</x:v>
      </x:c>
      <x:c r="L174" s="158" t="str">
        <x:v>Naira_Pediatria_13-07</x:v>
      </x:c>
      <x:c r="M174" s="47" t="n">
        <x:v>0.011111111110949423</x:v>
      </x:c>
      <x:c r="N174" s="278"/>
    </x:row>
    <x:row r="175">
      <x:c r="A175" s="157" t="n">
        <x:v>46216</x:v>
      </x:c>
      <x:c r="B175" s="104" t="str">
        <x:v>Naira Vanessa Anoma</x:v>
      </x:c>
      <x:c r="C175" s="104" t="str">
        <x:v>Pediatria</x:v>
      </x:c>
      <x:c r="D175" s="104" t="str">
        <x:v>Paciente 4</x:v>
      </x:c>
      <x:c r="E175" s="46" t="n">
        <x:v>46216.39861111111</x:v>
      </x:c>
      <x:c r="F175" s="46" t="n">
        <x:v>46216.404861111114</x:v>
      </x:c>
      <x:c r="G175" s="47" t="n">
        <x:v>0.006250000005820766</x:v>
      </x:c>
      <x:c r="H175" s="152"/>
      <x:c r="I175" s="104" t="str">
        <x:v>Não</x:v>
      </x:c>
      <x:c r="J175" s="145" t="str"/>
      <x:c r="K175" s="47" t="n">
        <x:v>0.0006944444394321181</x:v>
      </x:c>
      <x:c r="L175" s="158" t="str">
        <x:v>Naira_Pediatria_13-07</x:v>
      </x:c>
      <x:c r="M175" s="47" t="n">
        <x:v>0.006250000005820766</x:v>
      </x:c>
      <x:c r="N175" s="278"/>
    </x:row>
    <x:row r="176">
      <x:c r="A176" s="157" t="n">
        <x:v>46216</x:v>
      </x:c>
      <x:c r="B176" s="104" t="str">
        <x:v>Naira Vanessa Anoma</x:v>
      </x:c>
      <x:c r="C176" s="104" t="str">
        <x:v>Pediatria</x:v>
      </x:c>
      <x:c r="D176" s="104" t="str">
        <x:v>Paciente 5</x:v>
      </x:c>
      <x:c r="E176" s="46" t="n">
        <x:v>46216.40555555555</x:v>
      </x:c>
      <x:c r="F176" s="46" t="n">
        <x:v>46216.424305555556</x:v>
      </x:c>
      <x:c r="G176" s="47" t="n">
        <x:v>0.018750000002910383</x:v>
      </x:c>
      <x:c r="H176" s="152"/>
      <x:c r="I176" s="104" t="str">
        <x:v>Não</x:v>
      </x:c>
      <x:c r="J176" s="145" t="str"/>
      <x:c r="K176" s="47" t="n">
        <x:v>0</x:v>
      </x:c>
      <x:c r="L176" s="158" t="str">
        <x:v>Naira_Pediatria_13-07</x:v>
      </x:c>
      <x:c r="M176" s="47" t="n">
        <x:v>0.018750000002910383</x:v>
      </x:c>
      <x:c r="N176" s="278"/>
    </x:row>
    <x:row r="177">
      <x:c r="A177" s="157" t="n">
        <x:v>46216</x:v>
      </x:c>
      <x:c r="B177" s="104" t="str">
        <x:v>Naira Vanessa Anoma</x:v>
      </x:c>
      <x:c r="C177" s="104" t="str">
        <x:v>Pediatria</x:v>
      </x:c>
      <x:c r="D177" s="104" t="str">
        <x:v>Paciente 6</x:v>
      </x:c>
      <x:c r="E177" s="46" t="n">
        <x:v>46216.424305555556</x:v>
      </x:c>
      <x:c r="F177" s="46" t="n">
        <x:v>46216.43194444444</x:v>
      </x:c>
      <x:c r="G177" s="47" t="n">
        <x:v>0.007638888884685002</x:v>
      </x:c>
      <x:c r="H177" s="152"/>
      <x:c r="I177" s="104" t="str">
        <x:v>Não</x:v>
      </x:c>
      <x:c r="J177" s="145" t="str"/>
      <x:c r="K177" s="47" t="n">
        <x:v>0.002083333340124227</x:v>
      </x:c>
      <x:c r="L177" s="158" t="str">
        <x:v>Naira_Pediatria_13-07</x:v>
      </x:c>
      <x:c r="M177" s="47" t="n">
        <x:v>0.007638888884685002</x:v>
      </x:c>
      <x:c r="N177" s="278"/>
    </x:row>
    <x:row r="178">
      <x:c r="A178" s="157" t="n">
        <x:v>46216</x:v>
      </x:c>
      <x:c r="B178" s="104" t="str">
        <x:v>Naira Vanessa Anoma</x:v>
      </x:c>
      <x:c r="C178" s="104" t="str">
        <x:v>Pediatria</x:v>
      </x:c>
      <x:c r="D178" s="104" t="str">
        <x:v>Paciente 7</x:v>
      </x:c>
      <x:c r="E178" s="46" t="n">
        <x:v>46216.43402777778</x:v>
      </x:c>
      <x:c r="F178" s="46" t="n">
        <x:v>46216.44236111111</x:v>
      </x:c>
      <x:c r="G178" s="47" t="n">
        <x:v>0.008333333331393078</x:v>
      </x:c>
      <x:c r="H178" s="152"/>
      <x:c r="I178" s="104" t="str">
        <x:v>Não</x:v>
      </x:c>
      <x:c r="J178" s="145" t="str"/>
      <x:c r="K178" s="47" t="n">
        <x:v>0.0006944444467080757</x:v>
      </x:c>
      <x:c r="L178" s="158" t="str">
        <x:v>Naira_Pediatria_13-07</x:v>
      </x:c>
      <x:c r="M178" s="47" t="n">
        <x:v>0.008333333331393078</x:v>
      </x:c>
      <x:c r="N178" s="278"/>
    </x:row>
    <x:row r="179">
      <x:c r="A179" s="157" t="n">
        <x:v>46216</x:v>
      </x:c>
      <x:c r="B179" s="104" t="str">
        <x:v>Naira Vanessa Anoma</x:v>
      </x:c>
      <x:c r="C179" s="104" t="str">
        <x:v>Pediatria</x:v>
      </x:c>
      <x:c r="D179" s="104" t="str">
        <x:v>Paciente 8</x:v>
      </x:c>
      <x:c r="E179" s="46" t="n">
        <x:v>46216.44305555556</x:v>
      </x:c>
      <x:c r="F179" s="46" t="n">
        <x:v>46216.44861111111</x:v>
      </x:c>
      <x:c r="G179" s="47" t="n">
        <x:v>0.005555555551836733</x:v>
      </x:c>
      <x:c r="H179" s="152"/>
      <x:c r="I179" s="104" t="str">
        <x:v>Não</x:v>
      </x:c>
      <x:c r="J179" s="145" t="str"/>
      <x:c r="K179" s="47" t="n">
        <x:v>0.0006944444467080757</x:v>
      </x:c>
      <x:c r="L179" s="158" t="str">
        <x:v>Naira_Pediatria_13-07</x:v>
      </x:c>
      <x:c r="M179" s="47" t="n">
        <x:v>0.005555555551836733</x:v>
      </x:c>
      <x:c r="N179" s="278"/>
    </x:row>
    <x:row r="180">
      <x:c r="A180" s="157" t="n">
        <x:v>46216</x:v>
      </x:c>
      <x:c r="B180" s="104" t="str">
        <x:v>Naira Vanessa Anoma</x:v>
      </x:c>
      <x:c r="C180" s="104" t="str">
        <x:v>Pediatria</x:v>
      </x:c>
      <x:c r="D180" s="104" t="str">
        <x:v>Paciente 9</x:v>
      </x:c>
      <x:c r="E180" s="46" t="n">
        <x:v>46216.44930555556</x:v>
      </x:c>
      <x:c r="F180" s="46" t="n">
        <x:v>46216.458333333336</x:v>
      </x:c>
      <x:c r="G180" s="47" t="n">
        <x:v>0.009027777778101154</x:v>
      </x:c>
      <x:c r="H180" s="152"/>
      <x:c r="I180" s="104" t="str">
        <x:v>Não</x:v>
      </x:c>
      <x:c r="J180" s="145" t="str"/>
      <x:c r="K180" s="47" t="n">
        <x:v>0.0006944444394321181</x:v>
      </x:c>
      <x:c r="L180" s="158" t="str">
        <x:v>Naira_Pediatria_13-07</x:v>
      </x:c>
      <x:c r="M180" s="47" t="n">
        <x:v>0.009027777778101154</x:v>
      </x:c>
      <x:c r="N180" s="278"/>
    </x:row>
    <x:row r="181">
      <x:c r="A181" s="157" t="n">
        <x:v>46216</x:v>
      </x:c>
      <x:c r="B181" s="104" t="str">
        <x:v>Naira Vanessa Anoma</x:v>
      </x:c>
      <x:c r="C181" s="104" t="str">
        <x:v>Pediatria</x:v>
      </x:c>
      <x:c r="D181" s="104" t="str">
        <x:v>Paciente 10</x:v>
      </x:c>
      <x:c r="E181" s="46" t="n">
        <x:v>46216.459027777775</x:v>
      </x:c>
      <x:c r="F181" s="46" t="n">
        <x:v>46216.47361111111</x:v>
      </x:c>
      <x:c r="G181" s="47" t="n">
        <x:v>0.014583333337213844</x:v>
      </x:c>
      <x:c r="H181" s="152"/>
      <x:c r="I181" s="104" t="str">
        <x:v>Não</x:v>
      </x:c>
      <x:c r="J181" s="145" t="str"/>
      <x:c r="K181" s="47" t="n">
        <x:v>0.0006944444467080757</x:v>
      </x:c>
      <x:c r="L181" s="158" t="str">
        <x:v>Naira_Pediatria_13-07</x:v>
      </x:c>
      <x:c r="M181" s="47" t="n">
        <x:v>0.014583333337213844</x:v>
      </x:c>
      <x:c r="N181" s="278"/>
    </x:row>
    <x:row r="182">
      <x:c r="A182" s="157" t="n">
        <x:v>46216</x:v>
      </x:c>
      <x:c r="B182" s="104" t="str">
        <x:v>Naira Vanessa Anoma</x:v>
      </x:c>
      <x:c r="C182" s="104" t="str">
        <x:v>Pediatria</x:v>
      </x:c>
      <x:c r="D182" s="104" t="str">
        <x:v>Paciente 11</x:v>
      </x:c>
      <x:c r="E182" s="46" t="n">
        <x:v>46216.47430555556</x:v>
      </x:c>
      <x:c r="F182" s="46" t="n">
        <x:v>46216.48472222222</x:v>
      </x:c>
      <x:c r="G182" s="47" t="n">
        <x:v>0.010416666664241347</x:v>
      </x:c>
      <x:c r="H182" s="152"/>
      <x:c r="I182" s="104" t="str">
        <x:v>Não</x:v>
      </x:c>
      <x:c r="J182" s="145" t="str"/>
      <x:c r="K182" s="47" t="n">
        <x:v>0.004166666665696539</x:v>
      </x:c>
      <x:c r="L182" s="158" t="str">
        <x:v>Naira_Pediatria_13-07</x:v>
      </x:c>
      <x:c r="M182" s="47" t="n">
        <x:v>0.010416666664241347</x:v>
      </x:c>
      <x:c r="N182" s="278"/>
    </x:row>
    <x:row r="183">
      <x:c r="A183" s="157" t="n">
        <x:v>46216</x:v>
      </x:c>
      <x:c r="B183" s="104" t="str">
        <x:v>Naira Vanessa Anoma</x:v>
      </x:c>
      <x:c r="C183" s="104" t="str">
        <x:v>Pediatria</x:v>
      </x:c>
      <x:c r="D183" s="104" t="str">
        <x:v>Paciente 12</x:v>
      </x:c>
      <x:c r="E183" s="46" t="n">
        <x:v>46216.48888888889</x:v>
      </x:c>
      <x:c r="F183" s="46" t="n">
        <x:v>46216.498611111114</x:v>
      </x:c>
      <x:c r="G183" s="47" t="n">
        <x:v>0.00972222222480923</x:v>
      </x:c>
      <x:c r="H183" s="152"/>
      <x:c r="I183" s="104" t="str">
        <x:v>Não</x:v>
      </x:c>
      <x:c r="J183" s="145" t="str"/>
      <x:c r="K183" s="47" t="n">
        <x:v>0.0006944444394321181</x:v>
      </x:c>
      <x:c r="L183" s="158" t="str">
        <x:v>Naira_Pediatria_13-07</x:v>
      </x:c>
      <x:c r="M183" s="47" t="n">
        <x:v>0.00972222222480923</x:v>
      </x:c>
      <x:c r="N183" s="278"/>
    </x:row>
    <x:row r="184">
      <x:c r="A184" s="157" t="n">
        <x:v>46216</x:v>
      </x:c>
      <x:c r="B184" s="104" t="str">
        <x:v>Naira Vanessa Anoma</x:v>
      </x:c>
      <x:c r="C184" s="104" t="str">
        <x:v>Pediatria</x:v>
      </x:c>
      <x:c r="D184" s="104" t="str">
        <x:v>Paciente 13</x:v>
      </x:c>
      <x:c r="E184" s="46" t="n">
        <x:v>46216.49930555555</x:v>
      </x:c>
      <x:c r="F184" s="46" t="n">
        <x:v>46216.50555555556</x:v>
      </x:c>
      <x:c r="G184" s="47" t="n">
        <x:v>0.006250000005820766</x:v>
      </x:c>
      <x:c r="H184" s="152"/>
      <x:c r="I184" s="104" t="str">
        <x:v>Não</x:v>
      </x:c>
      <x:c r="J184" s="145" t="str"/>
      <x:c r="K184" s="47" t="n">
        <x:v>0.0006944444394321181</x:v>
      </x:c>
      <x:c r="L184" s="158" t="str">
        <x:v>Naira_Pediatria_13-07</x:v>
      </x:c>
      <x:c r="M184" s="47" t="n">
        <x:v>0.006250000005820766</x:v>
      </x:c>
      <x:c r="N184" s="278"/>
    </x:row>
    <x:row r="185">
      <x:c r="A185" s="157" t="n">
        <x:v>46216</x:v>
      </x:c>
      <x:c r="B185" s="104" t="str">
        <x:v>Naira Vanessa Anoma</x:v>
      </x:c>
      <x:c r="C185" s="104" t="str">
        <x:v>Pediatria</x:v>
      </x:c>
      <x:c r="D185" s="104" t="str">
        <x:v>Paciente 14</x:v>
      </x:c>
      <x:c r="E185" s="46" t="n">
        <x:v>46216.50625</x:v>
      </x:c>
      <x:c r="F185" s="46" t="n">
        <x:v>46216.52222222222</x:v>
      </x:c>
      <x:c r="G185" s="47" t="n">
        <x:v>0.015972222223354038</x:v>
      </x:c>
      <x:c r="H185" s="152"/>
      <x:c r="I185" s="104" t="str">
        <x:v>Não</x:v>
      </x:c>
      <x:c r="J185" s="145" t="str"/>
      <x:c r="K185" s="47" t="n">
        <x:v>0</x:v>
      </x:c>
      <x:c r="L185" s="158" t="str">
        <x:v>Naira_Pediatria_13-07</x:v>
      </x:c>
      <x:c r="M185" s="47" t="n">
        <x:v>0.015972222223354038</x:v>
      </x:c>
      <x:c r="N185" s="278"/>
    </x:row>
    <x:row r="186">
      <x:c r="A186" s="157" t="n">
        <x:v>46216</x:v>
      </x:c>
      <x:c r="B186" s="104" t="str">
        <x:v>Naira Vanessa Anoma</x:v>
      </x:c>
      <x:c r="C186" s="104" t="str">
        <x:v>Pediatria</x:v>
      </x:c>
      <x:c r="D186" s="104" t="str">
        <x:v>Paciente 15</x:v>
      </x:c>
      <x:c r="E186" s="46" t="n">
        <x:v>46216.52222222222</x:v>
      </x:c>
      <x:c r="F186" s="46" t="n">
        <x:v>46216.529861111114</x:v>
      </x:c>
      <x:c r="G186" s="47" t="n">
        <x:v>0.00763888889196096</x:v>
      </x:c>
      <x:c r="H186" s="152"/>
      <x:c r="I186" s="104" t="str">
        <x:v>Não</x:v>
      </x:c>
      <x:c r="J186" s="145" t="str"/>
      <x:c r="K186" s="47" t="n">
        <x:v>0.0013888888861401938</x:v>
      </x:c>
      <x:c r="L186" s="158" t="str">
        <x:v>Naira_Pediatria_13-07</x:v>
      </x:c>
      <x:c r="M186" s="47" t="n">
        <x:v>0.00763888889196096</x:v>
      </x:c>
      <x:c r="N186" s="278"/>
    </x:row>
    <x:row r="187">
      <x:c r="A187" s="157" t="n">
        <x:v>46216</x:v>
      </x:c>
      <x:c r="B187" s="104" t="str">
        <x:v>Naira Vanessa Anoma</x:v>
      </x:c>
      <x:c r="C187" s="104" t="str">
        <x:v>Pediatria</x:v>
      </x:c>
      <x:c r="D187" s="104" t="str">
        <x:v>Paciente 16</x:v>
      </x:c>
      <x:c r="E187" s="46" t="n">
        <x:v>46216.53125</x:v>
      </x:c>
      <x:c r="F187" s="46" t="n">
        <x:v>46216.53611111111</x:v>
      </x:c>
      <x:c r="G187" s="47" t="n">
        <x:v>0.004861111112404615</x:v>
      </x:c>
      <x:c r="H187" s="152"/>
      <x:c r="I187" s="104" t="str">
        <x:v>Não</x:v>
      </x:c>
      <x:c r="J187" s="145" t="str"/>
      <x:c r="K187" s="47" t="n">
        <x:v>0.002777777779556345</x:v>
      </x:c>
      <x:c r="L187" s="158" t="str">
        <x:v>Naira_Pediatria_13-07</x:v>
      </x:c>
      <x:c r="M187" s="47" t="n">
        <x:v>0.004861111112404615</x:v>
      </x:c>
      <x:c r="N187" s="278"/>
    </x:row>
    <x:row r="188">
      <x:c r="A188" s="157" t="n">
        <x:v>46216</x:v>
      </x:c>
      <x:c r="B188" s="104" t="str">
        <x:v>Naira Vanessa Anoma</x:v>
      </x:c>
      <x:c r="C188" s="104" t="str">
        <x:v>Pediatria</x:v>
      </x:c>
      <x:c r="D188" s="104" t="str">
        <x:v>Paciente 17</x:v>
      </x:c>
      <x:c r="E188" s="46" t="n">
        <x:v>46216.53888888889</x:v>
      </x:c>
      <x:c r="F188" s="46" t="n">
        <x:v>46216.544444444444</x:v>
      </x:c>
      <x:c r="G188" s="47" t="n">
        <x:v>0.005555555551836733</x:v>
      </x:c>
      <x:c r="H188" s="152"/>
      <x:c r="I188" s="104" t="str">
        <x:v>Não</x:v>
      </x:c>
      <x:c r="J188" s="145" t="str"/>
      <x:c r="K188" s="47" t="n">
        <x:v>0.002777777779556345</x:v>
      </x:c>
      <x:c r="L188" s="158" t="str">
        <x:v>Naira_Pediatria_13-07</x:v>
      </x:c>
      <x:c r="M188" s="47" t="n">
        <x:v>0.005555555551836733</x:v>
      </x:c>
      <x:c r="N188" s="278"/>
    </x:row>
    <x:row r="189">
      <x:c r="A189" s="159" t="n">
        <x:v>46216</x:v>
      </x:c>
      <x:c r="B189" s="109" t="str">
        <x:v>Naira Vanessa Anoma</x:v>
      </x:c>
      <x:c r="C189" s="109" t="str">
        <x:v>Pediatria</x:v>
      </x:c>
      <x:c r="D189" s="109" t="str">
        <x:v>Paciente 18</x:v>
      </x:c>
      <x:c r="E189" s="107" t="n">
        <x:v>46216.54722222222</x:v>
      </x:c>
      <x:c r="F189" s="107" t="n">
        <x:v>46216.552777777775</x:v>
      </x:c>
      <x:c r="G189" s="108" t="n">
        <x:v>0.005555555551836733</x:v>
      </x:c>
      <x:c r="H189" s="160"/>
      <x:c r="I189" s="109" t="str">
        <x:v>Não</x:v>
      </x:c>
      <x:c r="J189" s="146" t="str"/>
      <x:c r="K189" s="108"/>
      <x:c r="L189" s="161" t="str">
        <x:v>Naira_Pediatria_13-07</x:v>
      </x:c>
      <x:c r="M189" s="47" t="n">
        <x:v>0.005555555551836733</x:v>
      </x:c>
      <x:c r="N189" s="278"/>
    </x:row>
    <x:row r="190">
      <x:c r="A190" s="264" t="n">
        <x:v>46219</x:v>
      </x:c>
      <x:c r="B190" s="236" t="str">
        <x:v>Lucas Emanuel de Oliveira</x:v>
      </x:c>
      <x:c r="C190" s="236" t="str">
        <x:v>Ortopedia e Traumatologia</x:v>
      </x:c>
      <x:c r="D190" s="236" t="str">
        <x:v>Paciente 1</x:v>
      </x:c>
      <x:c r="E190" s="234" t="n">
        <x:v>46219.600694444445</x:v>
      </x:c>
      <x:c r="F190" s="234" t="n">
        <x:v>46219.603472222225</x:v>
      </x:c>
      <x:c r="G190" s="235" t="n">
        <x:v>0.002777777777777778</x:v>
      </x:c>
      <x:c r="H190" s="265"/>
      <x:c r="I190" s="236" t="str">
        <x:v>Não</x:v>
      </x:c>
      <x:c r="J190" s="260" t="str"/>
      <x:c r="K190" s="235" t="n">
        <x:v>0.0006944444444444445</x:v>
      </x:c>
      <x:c r="L190" s="236" t="str">
        <x:v>Lucas_Ortopedia_16-07</x:v>
      </x:c>
      <x:c r="M190" s="237" t="n">
        <x:v>0.002777777777777778</x:v>
      </x:c>
      <x:c r="N190" s="278" t="n">
        <x:v>17</x:v>
      </x:c>
    </x:row>
    <x:row r="191">
      <x:c r="A191" s="266" t="n">
        <x:v>46219</x:v>
      </x:c>
      <x:c r="B191" s="241" t="str">
        <x:v>Lucas Emanuel de Oliveira</x:v>
      </x:c>
      <x:c r="C191" s="241" t="str">
        <x:v>Ortopedia e Traumatologia</x:v>
      </x:c>
      <x:c r="D191" s="241" t="str">
        <x:v>Paciente 2</x:v>
      </x:c>
      <x:c r="E191" s="239" t="n">
        <x:v>46219.604166666664</x:v>
      </x:c>
      <x:c r="F191" s="239" t="n">
        <x:v>46219.61111111111</x:v>
      </x:c>
      <x:c r="G191" s="240" t="n">
        <x:v>0.006944444444444444</x:v>
      </x:c>
      <x:c r="H191" s="267"/>
      <x:c r="I191" s="241" t="str">
        <x:v>Não</x:v>
      </x:c>
      <x:c r="J191" s="261" t="str"/>
      <x:c r="K191" s="240" t="n">
        <x:v>0.003472222222222222</x:v>
      </x:c>
      <x:c r="L191" s="241" t="str">
        <x:v>Lucas_Ortopedia_16-07</x:v>
      </x:c>
      <x:c r="M191" s="242" t="n">
        <x:v>0.006944444444444444</x:v>
      </x:c>
      <x:c r="N191" s="278" t="n">
        <x:v>84</x:v>
      </x:c>
    </x:row>
    <x:row r="192">
      <x:c r="A192" s="266" t="n">
        <x:v>46219</x:v>
      </x:c>
      <x:c r="B192" s="241" t="str">
        <x:v>Lucas Emanuel de Oliveira</x:v>
      </x:c>
      <x:c r="C192" s="241" t="str">
        <x:v>Ortopedia e Traumatologia</x:v>
      </x:c>
      <x:c r="D192" s="241" t="str">
        <x:v>Paciente 3</x:v>
      </x:c>
      <x:c r="E192" s="239" t="n">
        <x:v>46219.614583333336</x:v>
      </x:c>
      <x:c r="F192" s="239" t="n">
        <x:v>46219.625</x:v>
      </x:c>
      <x:c r="G192" s="240" t="n">
        <x:v>0.010416666666666666</x:v>
      </x:c>
      <x:c r="H192" s="267"/>
      <x:c r="I192" s="241" t="str">
        <x:v>Não</x:v>
      </x:c>
      <x:c r="J192" s="261" t="str"/>
      <x:c r="K192" s="240" t="n">
        <x:v>0.001388888888888889</x:v>
      </x:c>
      <x:c r="L192" s="241" t="str">
        <x:v>Lucas_Ortopedia_16-07</x:v>
      </x:c>
      <x:c r="M192" s="242" t="n">
        <x:v>0.010416666666666666</x:v>
      </x:c>
      <x:c r="N192" s="278" t="n">
        <x:v>50</x:v>
      </x:c>
    </x:row>
    <x:row r="193">
      <x:c r="A193" s="266" t="n">
        <x:v>46219</x:v>
      </x:c>
      <x:c r="B193" s="241" t="str">
        <x:v>Lucas Emanuel de Oliveira</x:v>
      </x:c>
      <x:c r="C193" s="241" t="str">
        <x:v>Ortopedia e Traumatologia</x:v>
      </x:c>
      <x:c r="D193" s="241" t="str">
        <x:v>Paciente 4</x:v>
      </x:c>
      <x:c r="E193" s="239" t="n">
        <x:v>46219.626388888886</x:v>
      </x:c>
      <x:c r="F193" s="239" t="n">
        <x:v>46219.63263888889</x:v>
      </x:c>
      <x:c r="G193" s="240" t="n">
        <x:v>0.00625</x:v>
      </x:c>
      <x:c r="H193" s="267"/>
      <x:c r="I193" s="241" t="str">
        <x:v>Não</x:v>
      </x:c>
      <x:c r="J193" s="261" t="str"/>
      <x:c r="K193" s="240" t="n">
        <x:v>0</x:v>
      </x:c>
      <x:c r="L193" s="241" t="str">
        <x:v>Lucas_Ortopedia_16-07</x:v>
      </x:c>
      <x:c r="M193" s="242" t="n">
        <x:v>0.00625</x:v>
      </x:c>
      <x:c r="N193" s="278" t="n">
        <x:v>90</x:v>
      </x:c>
    </x:row>
    <x:row r="194">
      <x:c r="A194" s="266" t="n">
        <x:v>46219</x:v>
      </x:c>
      <x:c r="B194" s="241" t="str">
        <x:v>Lucas Emanuel de Oliveira</x:v>
      </x:c>
      <x:c r="C194" s="241" t="str">
        <x:v>Ortopedia e Traumatologia</x:v>
      </x:c>
      <x:c r="D194" s="241" t="str">
        <x:v>Paciente 5</x:v>
      </x:c>
      <x:c r="E194" s="239" t="n">
        <x:v>46219.63263888889</x:v>
      </x:c>
      <x:c r="F194" s="239" t="n">
        <x:v>46219.63611111111</x:v>
      </x:c>
      <x:c r="G194" s="240" t="n">
        <x:v>0.003472222222222222</x:v>
      </x:c>
      <x:c r="H194" s="267"/>
      <x:c r="I194" s="241" t="str">
        <x:v>Não</x:v>
      </x:c>
      <x:c r="J194" s="261" t="str"/>
      <x:c r="K194" s="240" t="n">
        <x:v>0.0006944444444444445</x:v>
      </x:c>
      <x:c r="L194" s="241" t="str">
        <x:v>Lucas_Ortopedia_16-07</x:v>
      </x:c>
      <x:c r="M194" s="242" t="n">
        <x:v>0.003472222222222222</x:v>
      </x:c>
      <x:c r="N194" s="278" t="n">
        <x:v>69</x:v>
      </x:c>
    </x:row>
    <x:row r="195">
      <x:c r="A195" s="266" t="n">
        <x:v>46219</x:v>
      </x:c>
      <x:c r="B195" s="241" t="str">
        <x:v>Lucas Emanuel de Oliveira</x:v>
      </x:c>
      <x:c r="C195" s="241" t="str">
        <x:v>Ortopedia e Traumatologia</x:v>
      </x:c>
      <x:c r="D195" s="241" t="str">
        <x:v>Paciente 6</x:v>
      </x:c>
      <x:c r="E195" s="239" t="n">
        <x:v>46219.63680555556</x:v>
      </x:c>
      <x:c r="F195" s="239" t="n">
        <x:v>46219.64861111111</x:v>
      </x:c>
      <x:c r="G195" s="240" t="n">
        <x:v>0.011805555555555555</x:v>
      </x:c>
      <x:c r="H195" s="267"/>
      <x:c r="I195" s="241" t="str">
        <x:v>Não</x:v>
      </x:c>
      <x:c r="J195" s="261" t="str"/>
      <x:c r="K195" s="240" t="n">
        <x:v>0.0006944444444444445</x:v>
      </x:c>
      <x:c r="L195" s="241" t="str">
        <x:v>Lucas_Ortopedia_16-07</x:v>
      </x:c>
      <x:c r="M195" s="242" t="n">
        <x:v>0.011805555555555555</x:v>
      </x:c>
      <x:c r="N195" s="278" t="n">
        <x:v>104</x:v>
      </x:c>
    </x:row>
    <x:row r="196">
      <x:c r="A196" s="266" t="n">
        <x:v>46219</x:v>
      </x:c>
      <x:c r="B196" s="241" t="str">
        <x:v>Lucas Emanuel de Oliveira</x:v>
      </x:c>
      <x:c r="C196" s="241" t="str">
        <x:v>Ortopedia e Traumatologia</x:v>
      </x:c>
      <x:c r="D196" s="241" t="str">
        <x:v>Paciente 7</x:v>
      </x:c>
      <x:c r="E196" s="239" t="n">
        <x:v>46219.649305555555</x:v>
      </x:c>
      <x:c r="F196" s="239" t="n">
        <x:v>46219.65416666667</x:v>
      </x:c>
      <x:c r="G196" s="240" t="n">
        <x:v>0.004861111111111111</x:v>
      </x:c>
      <x:c r="H196" s="267"/>
      <x:c r="I196" s="241" t="str">
        <x:v>Não</x:v>
      </x:c>
      <x:c r="J196" s="261" t="str"/>
      <x:c r="K196" s="240" t="n">
        <x:v>0.0006944444444444445</x:v>
      </x:c>
      <x:c r="L196" s="241" t="str">
        <x:v>Lucas_Ortopedia_16-07</x:v>
      </x:c>
      <x:c r="M196" s="242" t="n">
        <x:v>0.004861111111111111</x:v>
      </x:c>
      <x:c r="N196" s="278" t="n">
        <x:v>53</x:v>
      </x:c>
    </x:row>
    <x:row r="197">
      <x:c r="A197" s="266" t="n">
        <x:v>46219</x:v>
      </x:c>
      <x:c r="B197" s="241" t="str">
        <x:v>Lucas Emanuel de Oliveira</x:v>
      </x:c>
      <x:c r="C197" s="241" t="str">
        <x:v>Ortopedia e Traumatologia</x:v>
      </x:c>
      <x:c r="D197" s="241" t="str">
        <x:v>Paciente 8</x:v>
      </x:c>
      <x:c r="E197" s="239" t="n">
        <x:v>46219.654861111114</x:v>
      </x:c>
      <x:c r="F197" s="239" t="n">
        <x:v>46219.65694444445</x:v>
      </x:c>
      <x:c r="G197" s="240" t="n">
        <x:v>0.0020833333333333333</x:v>
      </x:c>
      <x:c r="H197" s="267"/>
      <x:c r="I197" s="241" t="str">
        <x:v>Não</x:v>
      </x:c>
      <x:c r="J197" s="261" t="str"/>
      <x:c r="K197" s="240" t="n">
        <x:v>0.0006944444444444445</x:v>
      </x:c>
      <x:c r="L197" s="241" t="str">
        <x:v>Lucas_Ortopedia_16-07</x:v>
      </x:c>
      <x:c r="M197" s="242" t="n">
        <x:v>0.0020833333333333333</x:v>
      </x:c>
      <x:c r="N197" s="278" t="n">
        <x:v>95</x:v>
      </x:c>
    </x:row>
    <x:row r="198">
      <x:c r="A198" s="266" t="n">
        <x:v>46219</x:v>
      </x:c>
      <x:c r="B198" s="241" t="str">
        <x:v>Lucas Emanuel de Oliveira</x:v>
      </x:c>
      <x:c r="C198" s="241" t="str">
        <x:v>Ortopedia e Traumatologia</x:v>
      </x:c>
      <x:c r="D198" s="241" t="str">
        <x:v>Paciente 9</x:v>
      </x:c>
      <x:c r="E198" s="239" t="n">
        <x:v>46219.657638888886</x:v>
      </x:c>
      <x:c r="F198" s="239" t="n">
        <x:v>46219.66736111111</x:v>
      </x:c>
      <x:c r="G198" s="240" t="n">
        <x:v>0.009722222222222222</x:v>
      </x:c>
      <x:c r="H198" s="267"/>
      <x:c r="I198" s="241" t="str">
        <x:v>Não</x:v>
      </x:c>
      <x:c r="J198" s="261" t="str"/>
      <x:c r="K198" s="240" t="n">
        <x:v>0.008333333333333333</x:v>
      </x:c>
      <x:c r="L198" s="241" t="str">
        <x:v>Lucas_Ortopedia_16-07</x:v>
      </x:c>
      <x:c r="M198" s="242" t="n">
        <x:v>0.009722222222222222</x:v>
      </x:c>
      <x:c r="N198" s="278" t="n">
        <x:v>99</x:v>
      </x:c>
    </x:row>
    <x:row r="199">
      <x:c r="A199" s="266" t="n">
        <x:v>46219</x:v>
      </x:c>
      <x:c r="B199" s="241" t="str">
        <x:v>Lucas Emanuel de Oliveira</x:v>
      </x:c>
      <x:c r="C199" s="241" t="str">
        <x:v>Ortopedia e Traumatologia</x:v>
      </x:c>
      <x:c r="D199" s="241" t="str">
        <x:v>Paciente 10</x:v>
      </x:c>
      <x:c r="E199" s="239" t="n">
        <x:v>46219.67569444444</x:v>
      </x:c>
      <x:c r="F199" s="239" t="n">
        <x:v>46219.686111111114</x:v>
      </x:c>
      <x:c r="G199" s="240" t="n">
        <x:v>0.010416666666666666</x:v>
      </x:c>
      <x:c r="H199" s="267"/>
      <x:c r="I199" s="241" t="str">
        <x:v>Não</x:v>
      </x:c>
      <x:c r="J199" s="261" t="str"/>
      <x:c r="K199" s="240" t="n">
        <x:v>0.0006944444444444445</x:v>
      </x:c>
      <x:c r="L199" s="241" t="str">
        <x:v>Lucas_Ortopedia_16-07</x:v>
      </x:c>
      <x:c r="M199" s="242" t="n">
        <x:v>0.010416666666666666</x:v>
      </x:c>
      <x:c r="N199" s="278" t="n">
        <x:v>61</x:v>
      </x:c>
    </x:row>
    <x:row r="200">
      <x:c r="A200" s="266" t="n">
        <x:v>46219</x:v>
      </x:c>
      <x:c r="B200" s="241" t="str">
        <x:v>Lucas Emanuel de Oliveira</x:v>
      </x:c>
      <x:c r="C200" s="241" t="str">
        <x:v>Ortopedia e Traumatologia</x:v>
      </x:c>
      <x:c r="D200" s="241" t="str">
        <x:v>Paciente 11</x:v>
      </x:c>
      <x:c r="E200" s="239" t="n">
        <x:v>46219.68680555555</x:v>
      </x:c>
      <x:c r="F200" s="239" t="n">
        <x:v>46219.69652777778</x:v>
      </x:c>
      <x:c r="G200" s="240" t="n">
        <x:v>0.009722222222222222</x:v>
      </x:c>
      <x:c r="H200" s="267"/>
      <x:c r="I200" s="241" t="str">
        <x:v>Não</x:v>
      </x:c>
      <x:c r="J200" s="261" t="str"/>
      <x:c r="K200" s="240" t="n">
        <x:v>0.0006944444444444445</x:v>
      </x:c>
      <x:c r="L200" s="241" t="str">
        <x:v>Lucas_Ortopedia_16-07</x:v>
      </x:c>
      <x:c r="M200" s="242" t="n">
        <x:v>0.009722222222222222</x:v>
      </x:c>
      <x:c r="N200" s="278" t="n">
        <x:v>77</x:v>
      </x:c>
    </x:row>
    <x:row r="201">
      <x:c r="A201" s="266" t="n">
        <x:v>46219</x:v>
      </x:c>
      <x:c r="B201" s="241" t="str">
        <x:v>Lucas Emanuel de Oliveira</x:v>
      </x:c>
      <x:c r="C201" s="241" t="str">
        <x:v>Ortopedia e Traumatologia</x:v>
      </x:c>
      <x:c r="D201" s="241" t="str">
        <x:v>Paciente 12</x:v>
      </x:c>
      <x:c r="E201" s="239" t="n">
        <x:v>46219.697222222225</x:v>
      </x:c>
      <x:c r="F201" s="239" t="n">
        <x:v>46219.70277777778</x:v>
      </x:c>
      <x:c r="G201" s="240" t="n">
        <x:v>0.005555555555555556</x:v>
      </x:c>
      <x:c r="H201" s="267"/>
      <x:c r="I201" s="241" t="str">
        <x:v>Não</x:v>
      </x:c>
      <x:c r="J201" s="261" t="str"/>
      <x:c r="K201" s="240" t="n">
        <x:v>0</x:v>
      </x:c>
      <x:c r="L201" s="241" t="str">
        <x:v>Lucas_Ortopedia_16-07</x:v>
      </x:c>
      <x:c r="M201" s="242" t="n">
        <x:v>0.005555555555555556</x:v>
      </x:c>
      <x:c r="N201" s="278" t="n">
        <x:v>191</x:v>
      </x:c>
    </x:row>
    <x:row r="202">
      <x:c r="A202" s="266" t="n">
        <x:v>46219</x:v>
      </x:c>
      <x:c r="B202" s="241" t="str">
        <x:v>Lucas Emanuel de Oliveira</x:v>
      </x:c>
      <x:c r="C202" s="241" t="str">
        <x:v>Ortopedia e Traumatologia</x:v>
      </x:c>
      <x:c r="D202" s="241" t="str">
        <x:v>Paciente 13</x:v>
      </x:c>
      <x:c r="E202" s="239" t="n">
        <x:v>46219.70277777778</x:v>
      </x:c>
      <x:c r="F202" s="239" t="n">
        <x:v>46219.709027777775</x:v>
      </x:c>
      <x:c r="G202" s="240" t="n">
        <x:v>0.00625</x:v>
      </x:c>
      <x:c r="H202" s="267"/>
      <x:c r="I202" s="241" t="str">
        <x:v>Não</x:v>
      </x:c>
      <x:c r="J202" s="261" t="str"/>
      <x:c r="K202" s="240" t="n">
        <x:v>0</x:v>
      </x:c>
      <x:c r="L202" s="241" t="str">
        <x:v>Lucas_Ortopedia_16-07</x:v>
      </x:c>
      <x:c r="M202" s="242" t="n">
        <x:v>0.00625</x:v>
      </x:c>
      <x:c r="N202" s="278" t="n">
        <x:v>120</x:v>
      </x:c>
    </x:row>
    <x:row r="203">
      <x:c r="A203" s="266" t="n">
        <x:v>46219</x:v>
      </x:c>
      <x:c r="B203" s="241" t="str">
        <x:v>Lucas Emanuel de Oliveira</x:v>
      </x:c>
      <x:c r="C203" s="241" t="str">
        <x:v>Ortopedia e Traumatologia</x:v>
      </x:c>
      <x:c r="D203" s="241" t="str">
        <x:v>Paciente 14</x:v>
      </x:c>
      <x:c r="E203" s="239" t="n">
        <x:v>46219.709027777775</x:v>
      </x:c>
      <x:c r="F203" s="239" t="n">
        <x:v>46219.71388888889</x:v>
      </x:c>
      <x:c r="G203" s="240" t="n">
        <x:v>0.004861111111111111</x:v>
      </x:c>
      <x:c r="H203" s="267"/>
      <x:c r="I203" s="241" t="str">
        <x:v>Não</x:v>
      </x:c>
      <x:c r="J203" s="261" t="str"/>
      <x:c r="K203" s="240" t="n">
        <x:v>0</x:v>
      </x:c>
      <x:c r="L203" s="241" t="str">
        <x:v>Lucas_Ortopedia_16-07</x:v>
      </x:c>
      <x:c r="M203" s="242" t="n">
        <x:v>0.004861111111111111</x:v>
      </x:c>
      <x:c r="N203" s="278" t="n">
        <x:v>80</x:v>
      </x:c>
    </x:row>
    <x:row r="204">
      <x:c r="A204" s="266" t="n">
        <x:v>46219</x:v>
      </x:c>
      <x:c r="B204" s="241" t="str">
        <x:v>Lucas Emanuel de Oliveira</x:v>
      </x:c>
      <x:c r="C204" s="241" t="str">
        <x:v>Ortopedia e Traumatologia</x:v>
      </x:c>
      <x:c r="D204" s="241" t="str">
        <x:v>Paciente 15</x:v>
      </x:c>
      <x:c r="E204" s="239" t="n">
        <x:v>46219.71388888889</x:v>
      </x:c>
      <x:c r="F204" s="239" t="n">
        <x:v>46219.72152777778</x:v>
      </x:c>
      <x:c r="G204" s="240" t="n">
        <x:v>0.007638888888888889</x:v>
      </x:c>
      <x:c r="H204" s="267"/>
      <x:c r="I204" s="241" t="str">
        <x:v>Não</x:v>
      </x:c>
      <x:c r="J204" s="261" t="str"/>
      <x:c r="K204" s="240" t="n">
        <x:v>0.0006944444444444445</x:v>
      </x:c>
      <x:c r="L204" s="241" t="str">
        <x:v>Lucas_Ortopedia_16-07</x:v>
      </x:c>
      <x:c r="M204" s="242" t="n">
        <x:v>0.007638888888888889</x:v>
      </x:c>
      <x:c r="N204" s="278" t="n">
        <x:v>118</x:v>
      </x:c>
    </x:row>
    <x:row r="205">
      <x:c r="A205" s="266" t="n">
        <x:v>46219</x:v>
      </x:c>
      <x:c r="B205" s="241" t="str">
        <x:v>Lucas Emanuel de Oliveira</x:v>
      </x:c>
      <x:c r="C205" s="241" t="str">
        <x:v>Ortopedia e Traumatologia</x:v>
      </x:c>
      <x:c r="D205" s="241" t="str">
        <x:v>Paciente 16</x:v>
      </x:c>
      <x:c r="E205" s="239" t="n">
        <x:v>46219.72222222222</x:v>
      </x:c>
      <x:c r="F205" s="239" t="n">
        <x:v>46219.728472222225</x:v>
      </x:c>
      <x:c r="G205" s="240" t="n">
        <x:v>0.00625</x:v>
      </x:c>
      <x:c r="H205" s="267"/>
      <x:c r="I205" s="241" t="str">
        <x:v>Não</x:v>
      </x:c>
      <x:c r="J205" s="261" t="str"/>
      <x:c r="K205" s="240" t="n">
        <x:v>0</x:v>
      </x:c>
      <x:c r="L205" s="241" t="str">
        <x:v>Lucas_Ortopedia_16-07</x:v>
      </x:c>
      <x:c r="M205" s="242" t="n">
        <x:v>0.00625</x:v>
      </x:c>
      <x:c r="N205" s="278" t="n">
        <x:v>97</x:v>
      </x:c>
    </x:row>
    <x:row r="206">
      <x:c r="A206" s="266" t="n">
        <x:v>46219</x:v>
      </x:c>
      <x:c r="B206" s="241" t="str">
        <x:v>Lucas Emanuel de Oliveira</x:v>
      </x:c>
      <x:c r="C206" s="241" t="str">
        <x:v>Ortopedia e Traumatologia</x:v>
      </x:c>
      <x:c r="D206" s="241" t="str">
        <x:v>Paciente 17</x:v>
      </x:c>
      <x:c r="E206" s="239" t="n">
        <x:v>46219.728472222225</x:v>
      </x:c>
      <x:c r="F206" s="239" t="n">
        <x:v>46219.73263888889</x:v>
      </x:c>
      <x:c r="G206" s="240" t="n">
        <x:v>0.004166666666666667</x:v>
      </x:c>
      <x:c r="H206" s="267"/>
      <x:c r="I206" s="241" t="str">
        <x:v>Não</x:v>
      </x:c>
      <x:c r="J206" s="261" t="str"/>
      <x:c r="K206" s="240" t="n">
        <x:v>0.0006944444444444445</x:v>
      </x:c>
      <x:c r="L206" s="241" t="str">
        <x:v>Lucas_Ortopedia_16-07</x:v>
      </x:c>
      <x:c r="M206" s="242" t="n">
        <x:v>0.004166666666666667</x:v>
      </x:c>
      <x:c r="N206" s="278" t="n">
        <x:v>69</x:v>
      </x:c>
    </x:row>
    <x:row r="207">
      <x:c r="A207" s="266" t="n">
        <x:v>46219</x:v>
      </x:c>
      <x:c r="B207" s="241" t="str">
        <x:v>Lucas Emanuel de Oliveira</x:v>
      </x:c>
      <x:c r="C207" s="241" t="str">
        <x:v>Ortopedia e Traumatologia</x:v>
      </x:c>
      <x:c r="D207" s="241" t="str">
        <x:v>Paciente 18</x:v>
      </x:c>
      <x:c r="E207" s="239" t="n">
        <x:v>46219.73333333333</x:v>
      </x:c>
      <x:c r="F207" s="239" t="n">
        <x:v>46219.73611111111</x:v>
      </x:c>
      <x:c r="G207" s="240" t="n">
        <x:v>0.002777777777777778</x:v>
      </x:c>
      <x:c r="H207" s="267"/>
      <x:c r="I207" s="241" t="str">
        <x:v>Não</x:v>
      </x:c>
      <x:c r="J207" s="261" t="str"/>
      <x:c r="K207" s="240" t="n">
        <x:v>0.0006944444444444445</x:v>
      </x:c>
      <x:c r="L207" s="241" t="str">
        <x:v>Lucas_Ortopedia_16-07</x:v>
      </x:c>
      <x:c r="M207" s="242" t="n">
        <x:v>0.002777777777777778</x:v>
      </x:c>
      <x:c r="N207" s="278" t="n">
        <x:v>53</x:v>
      </x:c>
    </x:row>
    <x:row r="208">
      <x:c r="A208" s="266" t="n">
        <x:v>46219</x:v>
      </x:c>
      <x:c r="B208" s="241" t="str">
        <x:v>Lucas Emanuel de Oliveira</x:v>
      </x:c>
      <x:c r="C208" s="241" t="str">
        <x:v>Ortopedia e Traumatologia</x:v>
      </x:c>
      <x:c r="D208" s="241" t="str">
        <x:v>Paciente 19</x:v>
      </x:c>
      <x:c r="E208" s="239" t="n">
        <x:v>46219.736805555556</x:v>
      </x:c>
      <x:c r="F208" s="239" t="n">
        <x:v>46219.74236111111</x:v>
      </x:c>
      <x:c r="G208" s="240" t="n">
        <x:v>0.005555555555555556</x:v>
      </x:c>
      <x:c r="H208" s="267"/>
      <x:c r="I208" s="241" t="str">
        <x:v>Não</x:v>
      </x:c>
      <x:c r="J208" s="261" t="str"/>
      <x:c r="K208" s="240"/>
      <x:c r="L208" s="241" t="str">
        <x:v>Lucas_Ortopedia_16-07</x:v>
      </x:c>
      <x:c r="M208" s="242" t="n">
        <x:v>0.005555555555555556</x:v>
      </x:c>
      <x:c r="N208" s="278" t="n">
        <x:v>67</x:v>
      </x:c>
    </x:row>
    <x:row r="209">
      <x:c r="A209" s="266" t="n">
        <x:v>46219</x:v>
      </x:c>
      <x:c r="B209" s="241" t="str">
        <x:v>Vinicius Santos Lima</x:v>
      </x:c>
      <x:c r="C209" s="241" t="str">
        <x:v>Ortopedia e Traumatologia</x:v>
      </x:c>
      <x:c r="D209" s="241" t="str">
        <x:v>Paciente 1</x:v>
      </x:c>
      <x:c r="E209" s="239" t="n">
        <x:v>46219.35486111111</x:v>
      </x:c>
      <x:c r="F209" s="239" t="n">
        <x:v>46219.39444444444</x:v>
      </x:c>
      <x:c r="G209" s="240" t="n">
        <x:v>0.03958333333333333</x:v>
      </x:c>
      <x:c r="H209" s="267" t="n">
        <x:v>0.0006944444444444445</x:v>
      </x:c>
      <x:c r="I209" s="241" t="str">
        <x:v>Sim</x:v>
      </x:c>
      <x:c r="J209" s="261" t="str">
        <x:v>Término posterior ao início do atendimento seguinte</x:v>
      </x:c>
      <x:c r="K209" s="240" t="n">
        <x:v>0</x:v>
      </x:c>
      <x:c r="L209" s="241" t="str">
        <x:v>Vinicius_Ortopedia_16-07</x:v>
      </x:c>
      <x:c r="M209" s="242" t="n">
        <x:v>0.0006944444444444445</x:v>
      </x:c>
      <x:c r="N209" s="278" t="n">
        <x:v>16</x:v>
      </x:c>
    </x:row>
    <x:row r="210">
      <x:c r="A210" s="266" t="n">
        <x:v>46219</x:v>
      </x:c>
      <x:c r="B210" s="241" t="str">
        <x:v>Vinicius Santos Lima</x:v>
      </x:c>
      <x:c r="C210" s="241" t="str">
        <x:v>Ortopedia e Traumatologia</x:v>
      </x:c>
      <x:c r="D210" s="241" t="str">
        <x:v>Paciente 2</x:v>
      </x:c>
      <x:c r="E210" s="239" t="n">
        <x:v>46219.35555555556</x:v>
      </x:c>
      <x:c r="F210" s="239" t="n">
        <x:v>46219.36111111111</x:v>
      </x:c>
      <x:c r="G210" s="240" t="n">
        <x:v>0.005555555555555556</x:v>
      </x:c>
      <x:c r="H210" s="267"/>
      <x:c r="I210" s="241" t="str">
        <x:v>Não</x:v>
      </x:c>
      <x:c r="J210" s="261" t="str"/>
      <x:c r="K210" s="240" t="n">
        <x:v>0.0006944444444444445</x:v>
      </x:c>
      <x:c r="L210" s="241" t="str">
        <x:v>Vinicius_Ortopedia_16-07</x:v>
      </x:c>
      <x:c r="M210" s="242" t="n">
        <x:v>0.005555555555555556</x:v>
      </x:c>
      <x:c r="N210" s="278" t="n">
        <x:v>31</x:v>
      </x:c>
    </x:row>
    <x:row r="211">
      <x:c r="A211" s="266" t="n">
        <x:v>46219</x:v>
      </x:c>
      <x:c r="B211" s="241" t="str">
        <x:v>Vinicius Santos Lima</x:v>
      </x:c>
      <x:c r="C211" s="241" t="str">
        <x:v>Ortopedia e Traumatologia</x:v>
      </x:c>
      <x:c r="D211" s="241" t="str">
        <x:v>Paciente 3</x:v>
      </x:c>
      <x:c r="E211" s="239" t="n">
        <x:v>46219.361805555556</x:v>
      </x:c>
      <x:c r="F211" s="239" t="n">
        <x:v>46219.36944444444</x:v>
      </x:c>
      <x:c r="G211" s="240" t="n">
        <x:v>0.007638888888888889</x:v>
      </x:c>
      <x:c r="H211" s="267"/>
      <x:c r="I211" s="241" t="str">
        <x:v>Não</x:v>
      </x:c>
      <x:c r="J211" s="261" t="str"/>
      <x:c r="K211" s="240" t="n">
        <x:v>0.0006944444444444445</x:v>
      </x:c>
      <x:c r="L211" s="241" t="str">
        <x:v>Vinicius_Ortopedia_16-07</x:v>
      </x:c>
      <x:c r="M211" s="242" t="n">
        <x:v>0.007638888888888889</x:v>
      </x:c>
      <x:c r="N211" s="278" t="n">
        <x:v>27</x:v>
      </x:c>
    </x:row>
    <x:row r="212">
      <x:c r="A212" s="266" t="n">
        <x:v>46219</x:v>
      </x:c>
      <x:c r="B212" s="241" t="str">
        <x:v>Vinicius Santos Lima</x:v>
      </x:c>
      <x:c r="C212" s="241" t="str">
        <x:v>Ortopedia e Traumatologia</x:v>
      </x:c>
      <x:c r="D212" s="241" t="str">
        <x:v>Paciente 4</x:v>
      </x:c>
      <x:c r="E212" s="239" t="n">
        <x:v>46219.37013888889</x:v>
      </x:c>
      <x:c r="F212" s="239" t="n">
        <x:v>46219.38055555556</x:v>
      </x:c>
      <x:c r="G212" s="240" t="n">
        <x:v>0.010416666666666666</x:v>
      </x:c>
      <x:c r="H212" s="267"/>
      <x:c r="I212" s="241" t="str">
        <x:v>Não</x:v>
      </x:c>
      <x:c r="J212" s="261" t="str"/>
      <x:c r="K212" s="240" t="n">
        <x:v>0.0006944444444444445</x:v>
      </x:c>
      <x:c r="L212" s="241" t="str">
        <x:v>Vinicius_Ortopedia_16-07</x:v>
      </x:c>
      <x:c r="M212" s="242" t="n">
        <x:v>0.010416666666666666</x:v>
      </x:c>
      <x:c r="N212" s="278" t="n">
        <x:v>55</x:v>
      </x:c>
    </x:row>
    <x:row r="213">
      <x:c r="A213" s="266" t="n">
        <x:v>46219</x:v>
      </x:c>
      <x:c r="B213" s="241" t="str">
        <x:v>Vinicius Santos Lima</x:v>
      </x:c>
      <x:c r="C213" s="241" t="str">
        <x:v>Ortopedia e Traumatologia</x:v>
      </x:c>
      <x:c r="D213" s="241" t="str">
        <x:v>Paciente 5</x:v>
      </x:c>
      <x:c r="E213" s="239" t="n">
        <x:v>46219.38125</x:v>
      </x:c>
      <x:c r="F213" s="239" t="n">
        <x:v>46219.385416666664</x:v>
      </x:c>
      <x:c r="G213" s="240" t="n">
        <x:v>0.004166666666666667</x:v>
      </x:c>
      <x:c r="H213" s="267"/>
      <x:c r="I213" s="241" t="str">
        <x:v>Não</x:v>
      </x:c>
      <x:c r="J213" s="261" t="str"/>
      <x:c r="K213" s="240" t="n">
        <x:v>0</x:v>
      </x:c>
      <x:c r="L213" s="241" t="str">
        <x:v>Vinicius_Ortopedia_16-07</x:v>
      </x:c>
      <x:c r="M213" s="242" t="n">
        <x:v>0.004166666666666667</x:v>
      </x:c>
      <x:c r="N213" s="278" t="n">
        <x:v>1</x:v>
      </x:c>
    </x:row>
    <x:row r="214">
      <x:c r="A214" s="266" t="n">
        <x:v>46219</x:v>
      </x:c>
      <x:c r="B214" s="241" t="str">
        <x:v>Vinicius Santos Lima</x:v>
      </x:c>
      <x:c r="C214" s="241" t="str">
        <x:v>Ortopedia e Traumatologia</x:v>
      </x:c>
      <x:c r="D214" s="241" t="str">
        <x:v>Paciente 6</x:v>
      </x:c>
      <x:c r="E214" s="239" t="n">
        <x:v>46219.385416666664</x:v>
      </x:c>
      <x:c r="F214" s="239" t="n">
        <x:v>46219.39027777778</x:v>
      </x:c>
      <x:c r="G214" s="240" t="n">
        <x:v>0.004861111111111111</x:v>
      </x:c>
      <x:c r="H214" s="267"/>
      <x:c r="I214" s="241" t="str">
        <x:v>Não</x:v>
      </x:c>
      <x:c r="J214" s="261" t="str"/>
      <x:c r="K214" s="240" t="n">
        <x:v>0.004166666666666667</x:v>
      </x:c>
      <x:c r="L214" s="241" t="str">
        <x:v>Vinicius_Ortopedia_16-07</x:v>
      </x:c>
      <x:c r="M214" s="242" t="n">
        <x:v>0.004861111111111111</x:v>
      </x:c>
      <x:c r="N214" s="278" t="n">
        <x:v>61</x:v>
      </x:c>
    </x:row>
    <x:row r="215">
      <x:c r="A215" s="266" t="n">
        <x:v>46219</x:v>
      </x:c>
      <x:c r="B215" s="241" t="str">
        <x:v>Vinicius Santos Lima</x:v>
      </x:c>
      <x:c r="C215" s="241" t="str">
        <x:v>Ortopedia e Traumatologia</x:v>
      </x:c>
      <x:c r="D215" s="241" t="str">
        <x:v>Paciente 7</x:v>
      </x:c>
      <x:c r="E215" s="239" t="n">
        <x:v>46219.39444444444</x:v>
      </x:c>
      <x:c r="F215" s="239" t="n">
        <x:v>46219.407638888886</x:v>
      </x:c>
      <x:c r="G215" s="240" t="n">
        <x:v>0.013194444444444444</x:v>
      </x:c>
      <x:c r="H215" s="267"/>
      <x:c r="I215" s="241" t="str">
        <x:v>Não</x:v>
      </x:c>
      <x:c r="J215" s="261" t="str"/>
      <x:c r="K215" s="240" t="n">
        <x:v>0.0006944444444444445</x:v>
      </x:c>
      <x:c r="L215" s="241" t="str">
        <x:v>Vinicius_Ortopedia_16-07</x:v>
      </x:c>
      <x:c r="M215" s="242" t="n">
        <x:v>0.013194444444444444</x:v>
      </x:c>
      <x:c r="N215" s="278" t="n">
        <x:v>74</x:v>
      </x:c>
    </x:row>
    <x:row r="216">
      <x:c r="A216" s="266" t="n">
        <x:v>46219</x:v>
      </x:c>
      <x:c r="B216" s="241" t="str">
        <x:v>Vinicius Santos Lima</x:v>
      </x:c>
      <x:c r="C216" s="241" t="str">
        <x:v>Ortopedia e Traumatologia</x:v>
      </x:c>
      <x:c r="D216" s="241" t="str">
        <x:v>Paciente 8</x:v>
      </x:c>
      <x:c r="E216" s="239" t="n">
        <x:v>46219.40833333333</x:v>
      </x:c>
      <x:c r="F216" s="239" t="n">
        <x:v>46219.4125</x:v>
      </x:c>
      <x:c r="G216" s="240" t="n">
        <x:v>0.004166666666666667</x:v>
      </x:c>
      <x:c r="H216" s="267"/>
      <x:c r="I216" s="241" t="str">
        <x:v>Não</x:v>
      </x:c>
      <x:c r="J216" s="261" t="str"/>
      <x:c r="K216" s="240" t="n">
        <x:v>0.01875</x:v>
      </x:c>
      <x:c r="L216" s="241" t="str">
        <x:v>Vinicius_Ortopedia_16-07</x:v>
      </x:c>
      <x:c r="M216" s="242" t="n">
        <x:v>0.004166666666666667</x:v>
      </x:c>
      <x:c r="N216" s="278" t="n">
        <x:v>94</x:v>
      </x:c>
    </x:row>
    <x:row r="217">
      <x:c r="A217" s="266" t="n">
        <x:v>46219</x:v>
      </x:c>
      <x:c r="B217" s="241" t="str">
        <x:v>Vinicius Santos Lima</x:v>
      </x:c>
      <x:c r="C217" s="241" t="str">
        <x:v>Ortopedia e Traumatologia</x:v>
      </x:c>
      <x:c r="D217" s="241" t="str">
        <x:v>Paciente 9</x:v>
      </x:c>
      <x:c r="E217" s="239" t="n">
        <x:v>46219.43125</x:v>
      </x:c>
      <x:c r="F217" s="239" t="n">
        <x:v>46219.43541666667</x:v>
      </x:c>
      <x:c r="G217" s="240" t="n">
        <x:v>0.004166666666666667</x:v>
      </x:c>
      <x:c r="H217" s="267"/>
      <x:c r="I217" s="241" t="str">
        <x:v>Não</x:v>
      </x:c>
      <x:c r="J217" s="261" t="str"/>
      <x:c r="K217" s="240" t="n">
        <x:v>0</x:v>
      </x:c>
      <x:c r="L217" s="241" t="str">
        <x:v>Vinicius_Ortopedia_16-07</x:v>
      </x:c>
      <x:c r="M217" s="242" t="n">
        <x:v>0.004166666666666667</x:v>
      </x:c>
      <x:c r="N217" s="278" t="n">
        <x:v>126</x:v>
      </x:c>
    </x:row>
    <x:row r="218">
      <x:c r="A218" s="266" t="n">
        <x:v>46219</x:v>
      </x:c>
      <x:c r="B218" s="241" t="str">
        <x:v>Vinicius Santos Lima</x:v>
      </x:c>
      <x:c r="C218" s="241" t="str">
        <x:v>Ortopedia e Traumatologia</x:v>
      </x:c>
      <x:c r="D218" s="241" t="str">
        <x:v>Paciente 10</x:v>
      </x:c>
      <x:c r="E218" s="239" t="n">
        <x:v>46219.43541666667</x:v>
      </x:c>
      <x:c r="F218" s="239" t="n">
        <x:v>46219.4375</x:v>
      </x:c>
      <x:c r="G218" s="240" t="n">
        <x:v>0.0020833333333333333</x:v>
      </x:c>
      <x:c r="H218" s="267"/>
      <x:c r="I218" s="241" t="str">
        <x:v>Não</x:v>
      </x:c>
      <x:c r="J218" s="261" t="str"/>
      <x:c r="K218" s="240" t="n">
        <x:v>0</x:v>
      </x:c>
      <x:c r="L218" s="241" t="str">
        <x:v>Vinicius_Ortopedia_16-07</x:v>
      </x:c>
      <x:c r="M218" s="242" t="n">
        <x:v>0.0020833333333333333</x:v>
      </x:c>
      <x:c r="N218" s="278" t="n">
        <x:v>133</x:v>
      </x:c>
    </x:row>
    <x:row r="219">
      <x:c r="A219" s="266" t="n">
        <x:v>46219</x:v>
      </x:c>
      <x:c r="B219" s="241" t="str">
        <x:v>Vinicius Santos Lima</x:v>
      </x:c>
      <x:c r="C219" s="241" t="str">
        <x:v>Ortopedia e Traumatologia</x:v>
      </x:c>
      <x:c r="D219" s="241" t="str">
        <x:v>Paciente 11</x:v>
      </x:c>
      <x:c r="E219" s="239" t="n">
        <x:v>46219.4375</x:v>
      </x:c>
      <x:c r="F219" s="239" t="n">
        <x:v>46219.44305555556</x:v>
      </x:c>
      <x:c r="G219" s="240" t="n">
        <x:v>0.005555555555555556</x:v>
      </x:c>
      <x:c r="H219" s="267"/>
      <x:c r="I219" s="241" t="str">
        <x:v>Não</x:v>
      </x:c>
      <x:c r="J219" s="261" t="str"/>
      <x:c r="K219" s="240" t="n">
        <x:v>0.0006944444444444445</x:v>
      </x:c>
      <x:c r="L219" s="241" t="str">
        <x:v>Vinicius_Ortopedia_16-07</x:v>
      </x:c>
      <x:c r="M219" s="242" t="n">
        <x:v>0.005555555555555556</x:v>
      </x:c>
      <x:c r="N219" s="278" t="n">
        <x:v>9</x:v>
      </x:c>
    </x:row>
    <x:row r="220">
      <x:c r="A220" s="266" t="n">
        <x:v>46219</x:v>
      </x:c>
      <x:c r="B220" s="241" t="str">
        <x:v>Vinicius Santos Lima</x:v>
      </x:c>
      <x:c r="C220" s="241" t="str">
        <x:v>Ortopedia e Traumatologia</x:v>
      </x:c>
      <x:c r="D220" s="241" t="str">
        <x:v>Paciente 12</x:v>
      </x:c>
      <x:c r="E220" s="239" t="n">
        <x:v>46219.44375</x:v>
      </x:c>
      <x:c r="F220" s="239" t="n">
        <x:v>46219.44861111111</x:v>
      </x:c>
      <x:c r="G220" s="240" t="n">
        <x:v>0.004861111111111111</x:v>
      </x:c>
      <x:c r="H220" s="267"/>
      <x:c r="I220" s="241" t="str">
        <x:v>Não</x:v>
      </x:c>
      <x:c r="J220" s="261" t="str"/>
      <x:c r="K220" s="240" t="n">
        <x:v>0.0006944444444444445</x:v>
      </x:c>
      <x:c r="L220" s="241" t="str">
        <x:v>Vinicius_Ortopedia_16-07</x:v>
      </x:c>
      <x:c r="M220" s="242" t="n">
        <x:v>0.004861111111111111</x:v>
      </x:c>
      <x:c r="N220" s="278" t="n">
        <x:v>145</x:v>
      </x:c>
    </x:row>
    <x:row r="221">
      <x:c r="A221" s="266" t="n">
        <x:v>46219</x:v>
      </x:c>
      <x:c r="B221" s="241" t="str">
        <x:v>Vinicius Santos Lima</x:v>
      </x:c>
      <x:c r="C221" s="241" t="str">
        <x:v>Ortopedia e Traumatologia</x:v>
      </x:c>
      <x:c r="D221" s="241" t="str">
        <x:v>Paciente 13</x:v>
      </x:c>
      <x:c r="E221" s="239" t="n">
        <x:v>46219.44930555556</x:v>
      </x:c>
      <x:c r="F221" s="239" t="n">
        <x:v>46219.46875</x:v>
      </x:c>
      <x:c r="G221" s="240" t="n">
        <x:v>0.019444444444444445</x:v>
      </x:c>
      <x:c r="H221" s="267" t="n">
        <x:v>0.011805555555555555</x:v>
      </x:c>
      <x:c r="I221" s="241" t="str">
        <x:v>Sim</x:v>
      </x:c>
      <x:c r="J221" s="261" t="str">
        <x:v>Término posterior ao início do atendimento seguinte</x:v>
      </x:c>
      <x:c r="K221" s="240" t="n">
        <x:v>0</x:v>
      </x:c>
      <x:c r="L221" s="241" t="str">
        <x:v>Vinicius_Ortopedia_16-07</x:v>
      </x:c>
      <x:c r="M221" s="242" t="n">
        <x:v>0.011805555555555555</x:v>
      </x:c>
      <x:c r="N221" s="278" t="n">
        <x:v>153</x:v>
      </x:c>
    </x:row>
    <x:row r="222">
      <x:c r="A222" s="266" t="n">
        <x:v>46219</x:v>
      </x:c>
      <x:c r="B222" s="241" t="str">
        <x:v>Vinicius Santos Lima</x:v>
      </x:c>
      <x:c r="C222" s="241" t="str">
        <x:v>Ortopedia e Traumatologia</x:v>
      </x:c>
      <x:c r="D222" s="241" t="str">
        <x:v>Paciente 14</x:v>
      </x:c>
      <x:c r="E222" s="239" t="n">
        <x:v>46219.46111111111</x:v>
      </x:c>
      <x:c r="F222" s="239" t="n">
        <x:v>46219.47777777778</x:v>
      </x:c>
      <x:c r="G222" s="240" t="n">
        <x:v>0.016666666666666666</x:v>
      </x:c>
      <x:c r="H222" s="267" t="n">
        <x:v>0.008333333333333333</x:v>
      </x:c>
      <x:c r="I222" s="241" t="str">
        <x:v>Sim</x:v>
      </x:c>
      <x:c r="J222" s="261" t="str">
        <x:v>Término posterior ao início do atendimento seguinte</x:v>
      </x:c>
      <x:c r="K222" s="240" t="n">
        <x:v>0</x:v>
      </x:c>
      <x:c r="L222" s="241" t="str">
        <x:v>Vinicius_Ortopedia_16-07</x:v>
      </x:c>
      <x:c r="M222" s="242" t="n">
        <x:v>0.008333333333333333</x:v>
      </x:c>
      <x:c r="N222" s="278" t="n">
        <x:v>22</x:v>
      </x:c>
    </x:row>
    <x:row r="223">
      <x:c r="A223" s="266" t="n">
        <x:v>46219</x:v>
      </x:c>
      <x:c r="B223" s="241" t="str">
        <x:v>Vinicius Santos Lima</x:v>
      </x:c>
      <x:c r="C223" s="241" t="str">
        <x:v>Ortopedia e Traumatologia</x:v>
      </x:c>
      <x:c r="D223" s="241" t="str">
        <x:v>Paciente 15</x:v>
      </x:c>
      <x:c r="E223" s="239" t="n">
        <x:v>46219.46944444445</x:v>
      </x:c>
      <x:c r="F223" s="239" t="n">
        <x:v>46219.48263888889</x:v>
      </x:c>
      <x:c r="G223" s="240" t="n">
        <x:v>0.013194444444444444</x:v>
      </x:c>
      <x:c r="H223" s="267" t="n">
        <x:v>0.009027777777777777</x:v>
      </x:c>
      <x:c r="I223" s="241" t="str">
        <x:v>Sim</x:v>
      </x:c>
      <x:c r="J223" s="261" t="str">
        <x:v>Término posterior ao início do atendimento seguinte</x:v>
      </x:c>
      <x:c r="K223" s="240" t="n">
        <x:v>0</x:v>
      </x:c>
      <x:c r="L223" s="241" t="str">
        <x:v>Vinicius_Ortopedia_16-07</x:v>
      </x:c>
      <x:c r="M223" s="242" t="n">
        <x:v>0.009027777777777777</x:v>
      </x:c>
      <x:c r="N223" s="278" t="n">
        <x:v>182</x:v>
      </x:c>
    </x:row>
    <x:row r="224">
      <x:c r="A224" s="266" t="n">
        <x:v>46219</x:v>
      </x:c>
      <x:c r="B224" s="241" t="str">
        <x:v>Vinicius Santos Lima</x:v>
      </x:c>
      <x:c r="C224" s="241" t="str">
        <x:v>Ortopedia e Traumatologia</x:v>
      </x:c>
      <x:c r="D224" s="241" t="str">
        <x:v>Paciente 16</x:v>
      </x:c>
      <x:c r="E224" s="239" t="n">
        <x:v>46219.478472222225</x:v>
      </x:c>
      <x:c r="F224" s="239"/>
      <x:c r="G224" s="240"/>
      <x:c r="H224" s="267"/>
      <x:c r="I224" s="241" t="str">
        <x:v>Não</x:v>
      </x:c>
      <x:c r="J224" s="261" t="str">
        <x:v>Sem horário de término no relatório</x:v>
      </x:c>
      <x:c r="K224" s="240"/>
      <x:c r="L224" s="241" t="str">
        <x:v>Vinicius_Ortopedia_16-07</x:v>
      </x:c>
      <x:c r="M224" s="242"/>
      <x:c r="N224" s="278" t="n">
        <x:v>195</x:v>
      </x:c>
    </x:row>
    <x:row r="225">
      <x:c r="A225" s="266" t="n">
        <x:v>46219</x:v>
      </x:c>
      <x:c r="B225" s="241" t="str">
        <x:v>Fernanda Ferreira D</x:v>
      </x:c>
      <x:c r="C225" s="241" t="str">
        <x:v>Obstetrícia / Pré-Natal</x:v>
      </x:c>
      <x:c r="D225" s="241" t="str">
        <x:v>Paciente 1</x:v>
      </x:c>
      <x:c r="E225" s="239" t="n">
        <x:v>46219.37777777778</x:v>
      </x:c>
      <x:c r="F225" s="239" t="n">
        <x:v>46219.38333333333</x:v>
      </x:c>
      <x:c r="G225" s="240" t="n">
        <x:v>0.005555555555555556</x:v>
      </x:c>
      <x:c r="H225" s="267"/>
      <x:c r="I225" s="241" t="str">
        <x:v>Não</x:v>
      </x:c>
      <x:c r="J225" s="261" t="str"/>
      <x:c r="K225" s="240" t="n">
        <x:v>0.001388888888888889</x:v>
      </x:c>
      <x:c r="L225" s="241" t="str">
        <x:v>Fernanda_Gineco_16-07</x:v>
      </x:c>
      <x:c r="M225" s="242" t="n">
        <x:v>0.005555555555555556</x:v>
      </x:c>
      <x:c r="N225" s="278" t="n">
        <x:v>24</x:v>
      </x:c>
    </x:row>
    <x:row r="226">
      <x:c r="A226" s="266" t="n">
        <x:v>46219</x:v>
      </x:c>
      <x:c r="B226" s="241" t="str">
        <x:v>Fernanda Ferreira D</x:v>
      </x:c>
      <x:c r="C226" s="241" t="str">
        <x:v>Obstetrícia / Pré-Natal</x:v>
      </x:c>
      <x:c r="D226" s="241" t="str">
        <x:v>Paciente 2</x:v>
      </x:c>
      <x:c r="E226" s="239" t="n">
        <x:v>46219.384722222225</x:v>
      </x:c>
      <x:c r="F226" s="239" t="n">
        <x:v>46219.39166666667</x:v>
      </x:c>
      <x:c r="G226" s="240" t="n">
        <x:v>0.006944444444444444</x:v>
      </x:c>
      <x:c r="H226" s="267"/>
      <x:c r="I226" s="241" t="str">
        <x:v>Não</x:v>
      </x:c>
      <x:c r="J226" s="261" t="str"/>
      <x:c r="K226" s="240" t="n">
        <x:v>0</x:v>
      </x:c>
      <x:c r="L226" s="241" t="str">
        <x:v>Fernanda_Gineco_16-07</x:v>
      </x:c>
      <x:c r="M226" s="242" t="n">
        <x:v>0.006944444444444444</x:v>
      </x:c>
      <x:c r="N226" s="278" t="n">
        <x:v>21</x:v>
      </x:c>
    </x:row>
    <x:row r="227">
      <x:c r="A227" s="266" t="n">
        <x:v>46219</x:v>
      </x:c>
      <x:c r="B227" s="241" t="str">
        <x:v>Fernanda Ferreira D</x:v>
      </x:c>
      <x:c r="C227" s="241" t="str">
        <x:v>Obstetrícia / Pré-Natal</x:v>
      </x:c>
      <x:c r="D227" s="241" t="str">
        <x:v>Paciente 3</x:v>
      </x:c>
      <x:c r="E227" s="239" t="n">
        <x:v>46219.39166666667</x:v>
      </x:c>
      <x:c r="F227" s="239" t="n">
        <x:v>46219.39722222222</x:v>
      </x:c>
      <x:c r="G227" s="240" t="n">
        <x:v>0.005555555555555556</x:v>
      </x:c>
      <x:c r="H227" s="267"/>
      <x:c r="I227" s="241" t="str">
        <x:v>Não</x:v>
      </x:c>
      <x:c r="J227" s="261" t="str"/>
      <x:c r="K227" s="240" t="n">
        <x:v>0</x:v>
      </x:c>
      <x:c r="L227" s="241" t="str">
        <x:v>Fernanda_Gineco_16-07</x:v>
      </x:c>
      <x:c r="M227" s="242" t="n">
        <x:v>0.005555555555555556</x:v>
      </x:c>
      <x:c r="N227" s="278" t="n">
        <x:v>49</x:v>
      </x:c>
    </x:row>
    <x:row r="228">
      <x:c r="A228" s="266" t="n">
        <x:v>46219</x:v>
      </x:c>
      <x:c r="B228" s="241" t="str">
        <x:v>Fernanda Ferreira D</x:v>
      </x:c>
      <x:c r="C228" s="241" t="str">
        <x:v>Obstetrícia / Pré-Natal</x:v>
      </x:c>
      <x:c r="D228" s="241" t="str">
        <x:v>Paciente 4</x:v>
      </x:c>
      <x:c r="E228" s="239" t="n">
        <x:v>46219.39722222222</x:v>
      </x:c>
      <x:c r="F228" s="239" t="n">
        <x:v>46219.404861111114</x:v>
      </x:c>
      <x:c r="G228" s="240" t="n">
        <x:v>0.007638888888888889</x:v>
      </x:c>
      <x:c r="H228" s="267"/>
      <x:c r="I228" s="241" t="str">
        <x:v>Não</x:v>
      </x:c>
      <x:c r="J228" s="261" t="str"/>
      <x:c r="K228" s="240" t="n">
        <x:v>0</x:v>
      </x:c>
      <x:c r="L228" s="241" t="str">
        <x:v>Fernanda_Gineco_16-07</x:v>
      </x:c>
      <x:c r="M228" s="242" t="n">
        <x:v>0.007638888888888889</x:v>
      </x:c>
      <x:c r="N228" s="278" t="n">
        <x:v>27</x:v>
      </x:c>
    </x:row>
    <x:row r="229">
      <x:c r="A229" s="266" t="n">
        <x:v>46219</x:v>
      </x:c>
      <x:c r="B229" s="241" t="str">
        <x:v>Fernanda Ferreira D</x:v>
      </x:c>
      <x:c r="C229" s="241" t="str">
        <x:v>Obstetrícia / Pré-Natal</x:v>
      </x:c>
      <x:c r="D229" s="241" t="str">
        <x:v>Paciente 5</x:v>
      </x:c>
      <x:c r="E229" s="239" t="n">
        <x:v>46219.404861111114</x:v>
      </x:c>
      <x:c r="F229" s="239" t="n">
        <x:v>46219.40902777778</x:v>
      </x:c>
      <x:c r="G229" s="240" t="n">
        <x:v>0.004166666666666667</x:v>
      </x:c>
      <x:c r="H229" s="267"/>
      <x:c r="I229" s="241" t="str">
        <x:v>Não</x:v>
      </x:c>
      <x:c r="J229" s="261" t="str"/>
      <x:c r="K229" s="240" t="n">
        <x:v>0.0020833333333333333</x:v>
      </x:c>
      <x:c r="L229" s="241" t="str">
        <x:v>Fernanda_Gineco_16-07</x:v>
      </x:c>
      <x:c r="M229" s="242" t="n">
        <x:v>0.004166666666666667</x:v>
      </x:c>
      <x:c r="N229" s="278" t="n">
        <x:v>89</x:v>
      </x:c>
    </x:row>
    <x:row r="230">
      <x:c r="A230" s="266" t="n">
        <x:v>46219</x:v>
      </x:c>
      <x:c r="B230" s="241" t="str">
        <x:v>Fernanda Ferreira D</x:v>
      </x:c>
      <x:c r="C230" s="241" t="str">
        <x:v>Obstetrícia / Pré-Natal</x:v>
      </x:c>
      <x:c r="D230" s="241" t="str">
        <x:v>Paciente 6</x:v>
      </x:c>
      <x:c r="E230" s="239" t="n">
        <x:v>46219.41111111111</x:v>
      </x:c>
      <x:c r="F230" s="239" t="n">
        <x:v>46219.41875</x:v>
      </x:c>
      <x:c r="G230" s="240" t="n">
        <x:v>0.007638888888888889</x:v>
      </x:c>
      <x:c r="H230" s="267"/>
      <x:c r="I230" s="241" t="str">
        <x:v>Não</x:v>
      </x:c>
      <x:c r="J230" s="261" t="str"/>
      <x:c r="K230" s="240" t="n">
        <x:v>0.004166666666666667</x:v>
      </x:c>
      <x:c r="L230" s="241" t="str">
        <x:v>Fernanda_Gineco_16-07</x:v>
      </x:c>
      <x:c r="M230" s="242" t="n">
        <x:v>0.007638888888888889</x:v>
      </x:c>
      <x:c r="N230" s="278" t="n">
        <x:v>29</x:v>
      </x:c>
    </x:row>
    <x:row r="231">
      <x:c r="A231" s="266" t="n">
        <x:v>46219</x:v>
      </x:c>
      <x:c r="B231" s="241" t="str">
        <x:v>Fernanda Ferreira D</x:v>
      </x:c>
      <x:c r="C231" s="241" t="str">
        <x:v>Obstetrícia / Pré-Natal</x:v>
      </x:c>
      <x:c r="D231" s="241" t="str">
        <x:v>Paciente 7</x:v>
      </x:c>
      <x:c r="E231" s="239" t="n">
        <x:v>46219.42291666667</x:v>
      </x:c>
      <x:c r="F231" s="239" t="n">
        <x:v>46219.430555555555</x:v>
      </x:c>
      <x:c r="G231" s="240" t="n">
        <x:v>0.007638888888888889</x:v>
      </x:c>
      <x:c r="H231" s="267"/>
      <x:c r="I231" s="241" t="str">
        <x:v>Não</x:v>
      </x:c>
      <x:c r="J231" s="261" t="str"/>
      <x:c r="K231" s="240" t="n">
        <x:v>0.003472222222222222</x:v>
      </x:c>
      <x:c r="L231" s="241" t="str">
        <x:v>Fernanda_Gineco_16-07</x:v>
      </x:c>
      <x:c r="M231" s="242" t="n">
        <x:v>0.007638888888888889</x:v>
      </x:c>
      <x:c r="N231" s="278" t="n">
        <x:v>22</x:v>
      </x:c>
    </x:row>
    <x:row r="232">
      <x:c r="A232" s="266" t="n">
        <x:v>46219</x:v>
      </x:c>
      <x:c r="B232" s="241" t="str">
        <x:v>Fernanda Ferreira D</x:v>
      </x:c>
      <x:c r="C232" s="241" t="str">
        <x:v>Obstetrícia / Pré-Natal</x:v>
      </x:c>
      <x:c r="D232" s="241" t="str">
        <x:v>Paciente 8</x:v>
      </x:c>
      <x:c r="E232" s="239" t="n">
        <x:v>46219.43402777778</x:v>
      </x:c>
      <x:c r="F232" s="239" t="n">
        <x:v>46219.44305555556</x:v>
      </x:c>
      <x:c r="G232" s="240" t="n">
        <x:v>0.009027777777777777</x:v>
      </x:c>
      <x:c r="H232" s="267"/>
      <x:c r="I232" s="241" t="str">
        <x:v>Não</x:v>
      </x:c>
      <x:c r="J232" s="261" t="str"/>
      <x:c r="K232" s="240" t="n">
        <x:v>0.0006944444444444445</x:v>
      </x:c>
      <x:c r="L232" s="241" t="str">
        <x:v>Fernanda_Gineco_16-07</x:v>
      </x:c>
      <x:c r="M232" s="242" t="n">
        <x:v>0.009027777777777777</x:v>
      </x:c>
      <x:c r="N232" s="278" t="n">
        <x:v>61</x:v>
      </x:c>
    </x:row>
    <x:row r="233">
      <x:c r="A233" s="266" t="n">
        <x:v>46219</x:v>
      </x:c>
      <x:c r="B233" s="241" t="str">
        <x:v>Fernanda Ferreira D</x:v>
      </x:c>
      <x:c r="C233" s="241" t="str">
        <x:v>Obstetrícia / Pré-Natal</x:v>
      </x:c>
      <x:c r="D233" s="241" t="str">
        <x:v>Paciente 9</x:v>
      </x:c>
      <x:c r="E233" s="239" t="n">
        <x:v>46219.44375</x:v>
      </x:c>
      <x:c r="F233" s="239" t="n">
        <x:v>46219.44861111111</x:v>
      </x:c>
      <x:c r="G233" s="240" t="n">
        <x:v>0.004861111111111111</x:v>
      </x:c>
      <x:c r="H233" s="267"/>
      <x:c r="I233" s="241" t="str">
        <x:v>Não</x:v>
      </x:c>
      <x:c r="J233" s="261" t="str"/>
      <x:c r="K233" s="240" t="n">
        <x:v>0</x:v>
      </x:c>
      <x:c r="L233" s="241" t="str">
        <x:v>Fernanda_Gineco_16-07</x:v>
      </x:c>
      <x:c r="M233" s="242" t="n">
        <x:v>0.004861111111111111</x:v>
      </x:c>
      <x:c r="N233" s="278" t="n">
        <x:v>37</x:v>
      </x:c>
    </x:row>
    <x:row r="234">
      <x:c r="A234" s="266" t="n">
        <x:v>46219</x:v>
      </x:c>
      <x:c r="B234" s="241" t="str">
        <x:v>Fernanda Ferreira D</x:v>
      </x:c>
      <x:c r="C234" s="241" t="str">
        <x:v>Obstetrícia / Pré-Natal</x:v>
      </x:c>
      <x:c r="D234" s="241" t="str">
        <x:v>Paciente 10</x:v>
      </x:c>
      <x:c r="E234" s="239" t="n">
        <x:v>46219.44861111111</x:v>
      </x:c>
      <x:c r="F234" s="239" t="n">
        <x:v>46219.45416666667</x:v>
      </x:c>
      <x:c r="G234" s="240" t="n">
        <x:v>0.005555555555555556</x:v>
      </x:c>
      <x:c r="H234" s="267"/>
      <x:c r="I234" s="241" t="str">
        <x:v>Não</x:v>
      </x:c>
      <x:c r="J234" s="261" t="str"/>
      <x:c r="K234" s="240" t="n">
        <x:v>0.003472222222222222</x:v>
      </x:c>
      <x:c r="L234" s="241" t="str">
        <x:v>Fernanda_Gineco_16-07</x:v>
      </x:c>
      <x:c r="M234" s="242" t="n">
        <x:v>0.005555555555555556</x:v>
      </x:c>
      <x:c r="N234" s="278" t="n">
        <x:v>70</x:v>
      </x:c>
    </x:row>
    <x:row r="235">
      <x:c r="A235" s="266" t="n">
        <x:v>46219</x:v>
      </x:c>
      <x:c r="B235" s="241" t="str">
        <x:v>Fernanda Ferreira D</x:v>
      </x:c>
      <x:c r="C235" s="241" t="str">
        <x:v>Obstetrícia / Pré-Natal</x:v>
      </x:c>
      <x:c r="D235" s="241" t="str">
        <x:v>Paciente 11</x:v>
      </x:c>
      <x:c r="E235" s="239" t="n">
        <x:v>46219.45763888889</x:v>
      </x:c>
      <x:c r="F235" s="239" t="n">
        <x:v>46219.46041666667</x:v>
      </x:c>
      <x:c r="G235" s="240" t="n">
        <x:v>0.002777777777777778</x:v>
      </x:c>
      <x:c r="H235" s="267"/>
      <x:c r="I235" s="241" t="str">
        <x:v>Não</x:v>
      </x:c>
      <x:c r="J235" s="261" t="str"/>
      <x:c r="K235" s="240" t="n">
        <x:v>0.001388888888888889</x:v>
      </x:c>
      <x:c r="L235" s="241" t="str">
        <x:v>Fernanda_Gineco_16-07</x:v>
      </x:c>
      <x:c r="M235" s="242" t="n">
        <x:v>0.002777777777777778</x:v>
      </x:c>
      <x:c r="N235" s="278" t="n">
        <x:v>165</x:v>
      </x:c>
    </x:row>
    <x:row r="236">
      <x:c r="A236" s="266" t="n">
        <x:v>46219</x:v>
      </x:c>
      <x:c r="B236" s="241" t="str">
        <x:v>Fernanda Ferreira D</x:v>
      </x:c>
      <x:c r="C236" s="241" t="str">
        <x:v>Obstetrícia / Pré-Natal</x:v>
      </x:c>
      <x:c r="D236" s="241" t="str">
        <x:v>Paciente 12</x:v>
      </x:c>
      <x:c r="E236" s="239" t="n">
        <x:v>46219.461805555555</x:v>
      </x:c>
      <x:c r="F236" s="239" t="n">
        <x:v>46219.46597222222</x:v>
      </x:c>
      <x:c r="G236" s="240" t="n">
        <x:v>0.004166666666666667</x:v>
      </x:c>
      <x:c r="H236" s="267"/>
      <x:c r="I236" s="241" t="str">
        <x:v>Não</x:v>
      </x:c>
      <x:c r="J236" s="261" t="str"/>
      <x:c r="K236" s="240" t="n">
        <x:v>0.010416666666666666</x:v>
      </x:c>
      <x:c r="L236" s="241" t="str">
        <x:v>Fernanda_Gineco_16-07</x:v>
      </x:c>
      <x:c r="M236" s="242" t="n">
        <x:v>0.004166666666666667</x:v>
      </x:c>
      <x:c r="N236" s="278" t="n">
        <x:v>12</x:v>
      </x:c>
    </x:row>
    <x:row r="237">
      <x:c r="A237" s="266" t="n">
        <x:v>46219</x:v>
      </x:c>
      <x:c r="B237" s="241" t="str">
        <x:v>Fernanda Ferreira D</x:v>
      </x:c>
      <x:c r="C237" s="241" t="str">
        <x:v>Obstetrícia / Pré-Natal</x:v>
      </x:c>
      <x:c r="D237" s="241" t="str">
        <x:v>Paciente 13</x:v>
      </x:c>
      <x:c r="E237" s="239" t="n">
        <x:v>46219.47638888889</x:v>
      </x:c>
      <x:c r="F237" s="239" t="n">
        <x:v>46219.48333333333</x:v>
      </x:c>
      <x:c r="G237" s="240" t="n">
        <x:v>0.006944444444444444</x:v>
      </x:c>
      <x:c r="H237" s="267"/>
      <x:c r="I237" s="241" t="str">
        <x:v>Não</x:v>
      </x:c>
      <x:c r="J237" s="261" t="str"/>
      <x:c r="K237" s="240" t="n">
        <x:v>0</x:v>
      </x:c>
      <x:c r="L237" s="241" t="str">
        <x:v>Fernanda_Gineco_16-07</x:v>
      </x:c>
      <x:c r="M237" s="242" t="n">
        <x:v>0.006944444444444444</x:v>
      </x:c>
      <x:c r="N237" s="278" t="n">
        <x:v>191</x:v>
      </x:c>
    </x:row>
    <x:row r="238">
      <x:c r="A238" s="266" t="n">
        <x:v>46219</x:v>
      </x:c>
      <x:c r="B238" s="241" t="str">
        <x:v>Fernanda Ferreira D</x:v>
      </x:c>
      <x:c r="C238" s="241" t="str">
        <x:v>Ginecologia Clínica</x:v>
      </x:c>
      <x:c r="D238" s="241" t="str">
        <x:v>Paciente 14</x:v>
      </x:c>
      <x:c r="E238" s="239" t="n">
        <x:v>46219.48333333333</x:v>
      </x:c>
      <x:c r="F238" s="239" t="n">
        <x:v>46219.48888888889</x:v>
      </x:c>
      <x:c r="G238" s="240" t="n">
        <x:v>0.005555555555555556</x:v>
      </x:c>
      <x:c r="H238" s="267"/>
      <x:c r="I238" s="241" t="str">
        <x:v>Não</x:v>
      </x:c>
      <x:c r="J238" s="261" t="str"/>
      <x:c r="K238" s="240" t="n">
        <x:v>0</x:v>
      </x:c>
      <x:c r="L238" s="241" t="str">
        <x:v>Fernanda_Gineco_16-07</x:v>
      </x:c>
      <x:c r="M238" s="242" t="n">
        <x:v>0.005555555555555556</x:v>
      </x:c>
      <x:c r="N238" s="278" t="n">
        <x:v>17</x:v>
      </x:c>
    </x:row>
    <x:row r="239">
      <x:c r="A239" s="266" t="n">
        <x:v>46219</x:v>
      </x:c>
      <x:c r="B239" s="241" t="str">
        <x:v>Fernanda Ferreira D</x:v>
      </x:c>
      <x:c r="C239" s="241" t="str">
        <x:v>Obstetrícia / Pré-Natal</x:v>
      </x:c>
      <x:c r="D239" s="241" t="str">
        <x:v>Paciente 15</x:v>
      </x:c>
      <x:c r="E239" s="239" t="n">
        <x:v>46219.48888888889</x:v>
      </x:c>
      <x:c r="F239" s="239" t="n">
        <x:v>46219.49236111111</x:v>
      </x:c>
      <x:c r="G239" s="240" t="n">
        <x:v>0.003472222222222222</x:v>
      </x:c>
      <x:c r="H239" s="267"/>
      <x:c r="I239" s="241" t="str">
        <x:v>Não</x:v>
      </x:c>
      <x:c r="J239" s="261" t="str"/>
      <x:c r="K239" s="240" t="n">
        <x:v>0.004166666666666667</x:v>
      </x:c>
      <x:c r="L239" s="241" t="str">
        <x:v>Fernanda_Gineco_16-07</x:v>
      </x:c>
      <x:c r="M239" s="242" t="n">
        <x:v>0.003472222222222222</x:v>
      </x:c>
      <x:c r="N239" s="278" t="n">
        <x:v>210</x:v>
      </x:c>
    </x:row>
    <x:row r="240">
      <x:c r="A240" s="266" t="n">
        <x:v>46219</x:v>
      </x:c>
      <x:c r="B240" s="241" t="str">
        <x:v>Fernanda Ferreira D</x:v>
      </x:c>
      <x:c r="C240" s="241" t="str">
        <x:v>Obstetrícia / Pré-Natal</x:v>
      </x:c>
      <x:c r="D240" s="241" t="str">
        <x:v>Paciente 16</x:v>
      </x:c>
      <x:c r="E240" s="239" t="n">
        <x:v>46219.49652777778</x:v>
      </x:c>
      <x:c r="F240" s="239" t="n">
        <x:v>46219.50625</x:v>
      </x:c>
      <x:c r="G240" s="240" t="n">
        <x:v>0.009722222222222222</x:v>
      </x:c>
      <x:c r="H240" s="267"/>
      <x:c r="I240" s="241" t="str">
        <x:v>Não</x:v>
      </x:c>
      <x:c r="J240" s="261" t="str"/>
      <x:c r="K240" s="240" t="n">
        <x:v>0</x:v>
      </x:c>
      <x:c r="L240" s="241" t="str">
        <x:v>Fernanda_Gineco_16-07</x:v>
      </x:c>
      <x:c r="M240" s="242" t="n">
        <x:v>0.009722222222222222</x:v>
      </x:c>
      <x:c r="N240" s="278" t="n">
        <x:v>221</x:v>
      </x:c>
    </x:row>
    <x:row r="241">
      <x:c r="A241" s="266" t="n">
        <x:v>46219</x:v>
      </x:c>
      <x:c r="B241" s="241" t="str">
        <x:v>Fernanda Ferreira D</x:v>
      </x:c>
      <x:c r="C241" s="241" t="str">
        <x:v>Ginecologia Clínica</x:v>
      </x:c>
      <x:c r="D241" s="241" t="str">
        <x:v>Paciente 17</x:v>
      </x:c>
      <x:c r="E241" s="239" t="n">
        <x:v>46219.50625</x:v>
      </x:c>
      <x:c r="F241" s="239" t="n">
        <x:v>46219.509722222225</x:v>
      </x:c>
      <x:c r="G241" s="240" t="n">
        <x:v>0.003472222222222222</x:v>
      </x:c>
      <x:c r="H241" s="267"/>
      <x:c r="I241" s="241" t="str">
        <x:v>Não</x:v>
      </x:c>
      <x:c r="J241" s="261" t="str"/>
      <x:c r="K241" s="240" t="n">
        <x:v>0.006944444444444444</x:v>
      </x:c>
      <x:c r="L241" s="241" t="str">
        <x:v>Fernanda_Gineco_16-07</x:v>
      </x:c>
      <x:c r="M241" s="242" t="n">
        <x:v>0.003472222222222222</x:v>
      </x:c>
      <x:c r="N241" s="278" t="n">
        <x:v>235</x:v>
      </x:c>
    </x:row>
    <x:row r="242">
      <x:c r="A242" s="266" t="n">
        <x:v>46219</x:v>
      </x:c>
      <x:c r="B242" s="241" t="str">
        <x:v>Fernanda Ferreira D</x:v>
      </x:c>
      <x:c r="C242" s="241" t="str">
        <x:v>Ginecologia Clínica</x:v>
      </x:c>
      <x:c r="D242" s="241" t="str">
        <x:v>Paciente 18</x:v>
      </x:c>
      <x:c r="E242" s="239" t="n">
        <x:v>46219.51666666667</x:v>
      </x:c>
      <x:c r="F242" s="239" t="n">
        <x:v>46219.52361111111</x:v>
      </x:c>
      <x:c r="G242" s="240" t="n">
        <x:v>0.006944444444444444</x:v>
      </x:c>
      <x:c r="H242" s="267"/>
      <x:c r="I242" s="241" t="str">
        <x:v>Não</x:v>
      </x:c>
      <x:c r="J242" s="261" t="str"/>
      <x:c r="K242" s="240" t="n">
        <x:v>0.004166666666666667</x:v>
      </x:c>
      <x:c r="L242" s="241" t="str">
        <x:v>Fernanda_Gineco_16-07</x:v>
      </x:c>
      <x:c r="M242" s="242" t="n">
        <x:v>0.006944444444444444</x:v>
      </x:c>
      <x:c r="N242" s="278" t="n">
        <x:v>12</x:v>
      </x:c>
    </x:row>
    <x:row r="243">
      <x:c r="A243" s="266" t="n">
        <x:v>46219</x:v>
      </x:c>
      <x:c r="B243" s="241" t="str">
        <x:v>Fernanda Ferreira D</x:v>
      </x:c>
      <x:c r="C243" s="241" t="str">
        <x:v>Ginecologia Clínica</x:v>
      </x:c>
      <x:c r="D243" s="241" t="str">
        <x:v>Paciente 19</x:v>
      </x:c>
      <x:c r="E243" s="239" t="n">
        <x:v>46219.52777777778</x:v>
      </x:c>
      <x:c r="F243" s="239" t="n">
        <x:v>46219.53194444445</x:v>
      </x:c>
      <x:c r="G243" s="240" t="n">
        <x:v>0.004166666666666667</x:v>
      </x:c>
      <x:c r="H243" s="267"/>
      <x:c r="I243" s="241" t="str">
        <x:v>Não</x:v>
      </x:c>
      <x:c r="J243" s="261" t="str"/>
      <x:c r="K243" s="240" t="n">
        <x:v>0.0006944444444444445</x:v>
      </x:c>
      <x:c r="L243" s="241" t="str">
        <x:v>Fernanda_Gineco_16-07</x:v>
      </x:c>
      <x:c r="M243" s="242" t="n">
        <x:v>0.004166666666666667</x:v>
      </x:c>
      <x:c r="N243" s="278" t="n">
        <x:v>23</x:v>
      </x:c>
    </x:row>
    <x:row r="244">
      <x:c r="A244" s="266" t="n">
        <x:v>46219</x:v>
      </x:c>
      <x:c r="B244" s="241" t="str">
        <x:v>Fernanda Ferreira D</x:v>
      </x:c>
      <x:c r="C244" s="241" t="str">
        <x:v>Ginecologia Clínica</x:v>
      </x:c>
      <x:c r="D244" s="241" t="str">
        <x:v>Paciente 20</x:v>
      </x:c>
      <x:c r="E244" s="239" t="n">
        <x:v>46219.532638888886</x:v>
      </x:c>
      <x:c r="F244" s="239" t="n">
        <x:v>46219.538194444445</x:v>
      </x:c>
      <x:c r="G244" s="240" t="n">
        <x:v>0.005555555555555556</x:v>
      </x:c>
      <x:c r="H244" s="267"/>
      <x:c r="I244" s="241" t="str">
        <x:v>Não</x:v>
      </x:c>
      <x:c r="J244" s="261" t="str"/>
      <x:c r="K244" s="240" t="n">
        <x:v>0.0020833333333333333</x:v>
      </x:c>
      <x:c r="L244" s="241" t="str">
        <x:v>Fernanda_Gineco_16-07</x:v>
      </x:c>
      <x:c r="M244" s="242" t="n">
        <x:v>0.005555555555555556</x:v>
      </x:c>
      <x:c r="N244" s="278" t="n">
        <x:v>29</x:v>
      </x:c>
    </x:row>
    <x:row r="245">
      <x:c r="A245" s="266" t="n">
        <x:v>46219</x:v>
      </x:c>
      <x:c r="B245" s="241" t="str">
        <x:v>Fernanda Ferreira D</x:v>
      </x:c>
      <x:c r="C245" s="241" t="str">
        <x:v>Ginecologia Clínica</x:v>
      </x:c>
      <x:c r="D245" s="241" t="str">
        <x:v>Paciente 21</x:v>
      </x:c>
      <x:c r="E245" s="239" t="n">
        <x:v>46219.54027777778</x:v>
      </x:c>
      <x:c r="F245" s="239" t="n">
        <x:v>46219.54236111111</x:v>
      </x:c>
      <x:c r="G245" s="240" t="n">
        <x:v>0.0020833333333333333</x:v>
      </x:c>
      <x:c r="H245" s="267"/>
      <x:c r="I245" s="241" t="str">
        <x:v>Não</x:v>
      </x:c>
      <x:c r="J245" s="261" t="str"/>
      <x:c r="K245" s="240" t="n">
        <x:v>0.027777777777777776</x:v>
      </x:c>
      <x:c r="L245" s="241" t="str">
        <x:v>Fernanda_Gineco_16-07</x:v>
      </x:c>
      <x:c r="M245" s="242" t="n">
        <x:v>0.0020833333333333333</x:v>
      </x:c>
      <x:c r="N245" s="278" t="n">
        <x:v>36</x:v>
      </x:c>
    </x:row>
    <x:row r="246">
      <x:c r="A246" s="266" t="n">
        <x:v>46219</x:v>
      </x:c>
      <x:c r="B246" s="241" t="str">
        <x:v>Fernanda Ferreira D</x:v>
      </x:c>
      <x:c r="C246" s="241" t="str">
        <x:v>Ginecologia Clínica</x:v>
      </x:c>
      <x:c r="D246" s="241" t="str">
        <x:v>Paciente 22</x:v>
      </x:c>
      <x:c r="E246" s="239" t="n">
        <x:v>46219.57013888889</x:v>
      </x:c>
      <x:c r="F246" s="239" t="n">
        <x:v>46219.57638888889</x:v>
      </x:c>
      <x:c r="G246" s="240" t="n">
        <x:v>0.00625</x:v>
      </x:c>
      <x:c r="H246" s="267"/>
      <x:c r="I246" s="241" t="str">
        <x:v>Não</x:v>
      </x:c>
      <x:c r="J246" s="261" t="str"/>
      <x:c r="K246" s="240" t="n">
        <x:v>0.004166666666666667</x:v>
      </x:c>
      <x:c r="L246" s="241" t="str">
        <x:v>Fernanda_Gineco_16-07</x:v>
      </x:c>
      <x:c r="M246" s="242" t="n">
        <x:v>0.00625</x:v>
      </x:c>
      <x:c r="N246" s="278" t="n">
        <x:v>37</x:v>
      </x:c>
    </x:row>
    <x:row r="247">
      <x:c r="A247" s="266" t="n">
        <x:v>46219</x:v>
      </x:c>
      <x:c r="B247" s="241" t="str">
        <x:v>Fernanda Ferreira D</x:v>
      </x:c>
      <x:c r="C247" s="241" t="str">
        <x:v>Ginecologia Clínica</x:v>
      </x:c>
      <x:c r="D247" s="241" t="str">
        <x:v>Paciente 23</x:v>
      </x:c>
      <x:c r="E247" s="239" t="n">
        <x:v>46219.580555555556</x:v>
      </x:c>
      <x:c r="F247" s="239" t="n">
        <x:v>46219.58888888889</x:v>
      </x:c>
      <x:c r="G247" s="240" t="n">
        <x:v>0.008333333333333333</x:v>
      </x:c>
      <x:c r="H247" s="267"/>
      <x:c r="I247" s="241" t="str">
        <x:v>Não</x:v>
      </x:c>
      <x:c r="J247" s="261" t="str"/>
      <x:c r="K247" s="240" t="n">
        <x:v>0.0006944444444444445</x:v>
      </x:c>
      <x:c r="L247" s="241" t="str">
        <x:v>Fernanda_Gineco_16-07</x:v>
      </x:c>
      <x:c r="M247" s="242" t="n">
        <x:v>0.008333333333333333</x:v>
      </x:c>
      <x:c r="N247" s="278" t="n">
        <x:v>25</x:v>
      </x:c>
    </x:row>
    <x:row r="248">
      <x:c r="A248" s="266" t="n">
        <x:v>46219</x:v>
      </x:c>
      <x:c r="B248" s="241" t="str">
        <x:v>Fernanda Ferreira D</x:v>
      </x:c>
      <x:c r="C248" s="241" t="str">
        <x:v>Ginecologia Clínica</x:v>
      </x:c>
      <x:c r="D248" s="241" t="str">
        <x:v>Paciente 24</x:v>
      </x:c>
      <x:c r="E248" s="239" t="n">
        <x:v>46219.589583333334</x:v>
      </x:c>
      <x:c r="F248" s="239" t="n">
        <x:v>46219.595138888886</x:v>
      </x:c>
      <x:c r="G248" s="240" t="n">
        <x:v>0.005555555555555556</x:v>
      </x:c>
      <x:c r="H248" s="267"/>
      <x:c r="I248" s="241" t="str">
        <x:v>Não</x:v>
      </x:c>
      <x:c r="J248" s="261" t="str"/>
      <x:c r="K248" s="240" t="n">
        <x:v>0.001388888888888889</x:v>
      </x:c>
      <x:c r="L248" s="241" t="str">
        <x:v>Fernanda_Gineco_16-07</x:v>
      </x:c>
      <x:c r="M248" s="242" t="n">
        <x:v>0.005555555555555556</x:v>
      </x:c>
      <x:c r="N248" s="278" t="n">
        <x:v>36</x:v>
      </x:c>
    </x:row>
    <x:row r="249">
      <x:c r="A249" s="266" t="n">
        <x:v>46219</x:v>
      </x:c>
      <x:c r="B249" s="241" t="str">
        <x:v>Fernanda Ferreira D</x:v>
      </x:c>
      <x:c r="C249" s="241" t="str">
        <x:v>Ginecologia Clínica</x:v>
      </x:c>
      <x:c r="D249" s="241" t="str">
        <x:v>Paciente 25</x:v>
      </x:c>
      <x:c r="E249" s="239" t="n">
        <x:v>46219.59652777778</x:v>
      </x:c>
      <x:c r="F249" s="239" t="n">
        <x:v>46219.6</x:v>
      </x:c>
      <x:c r="G249" s="240" t="n">
        <x:v>0.003472222222222222</x:v>
      </x:c>
      <x:c r="H249" s="267"/>
      <x:c r="I249" s="241" t="str">
        <x:v>Não</x:v>
      </x:c>
      <x:c r="J249" s="261" t="str"/>
      <x:c r="K249" s="240" t="n">
        <x:v>0.004166666666666667</x:v>
      </x:c>
      <x:c r="L249" s="241" t="str">
        <x:v>Fernanda_Gineco_16-07</x:v>
      </x:c>
      <x:c r="M249" s="242" t="n">
        <x:v>0.003472222222222222</x:v>
      </x:c>
      <x:c r="N249" s="278" t="n">
        <x:v>11</x:v>
      </x:c>
    </x:row>
    <x:row r="250">
      <x:c r="A250" s="266" t="n">
        <x:v>46219</x:v>
      </x:c>
      <x:c r="B250" s="241" t="str">
        <x:v>Fernanda Ferreira D</x:v>
      </x:c>
      <x:c r="C250" s="241" t="str">
        <x:v>Ginecologia Clínica</x:v>
      </x:c>
      <x:c r="D250" s="241" t="str">
        <x:v>Paciente 26</x:v>
      </x:c>
      <x:c r="E250" s="239" t="n">
        <x:v>46219.604166666664</x:v>
      </x:c>
      <x:c r="F250" s="239" t="n">
        <x:v>46219.60902777778</x:v>
      </x:c>
      <x:c r="G250" s="240" t="n">
        <x:v>0.004861111111111111</x:v>
      </x:c>
      <x:c r="H250" s="267"/>
      <x:c r="I250" s="241" t="str">
        <x:v>Não</x:v>
      </x:c>
      <x:c r="J250" s="261" t="str"/>
      <x:c r="K250" s="240" t="n">
        <x:v>0.004166666666666667</x:v>
      </x:c>
      <x:c r="L250" s="241" t="str">
        <x:v>Fernanda_Gineco_16-07</x:v>
      </x:c>
      <x:c r="M250" s="242" t="n">
        <x:v>0.004861111111111111</x:v>
      </x:c>
      <x:c r="N250" s="278" t="n">
        <x:v>22</x:v>
      </x:c>
    </x:row>
    <x:row r="251">
      <x:c r="A251" s="266" t="n">
        <x:v>46219</x:v>
      </x:c>
      <x:c r="B251" s="241" t="str">
        <x:v>Fernanda Ferreira D</x:v>
      </x:c>
      <x:c r="C251" s="241" t="str">
        <x:v>Ginecologia Clínica</x:v>
      </x:c>
      <x:c r="D251" s="241" t="str">
        <x:v>Paciente 27</x:v>
      </x:c>
      <x:c r="E251" s="239" t="n">
        <x:v>46219.61319444444</x:v>
      </x:c>
      <x:c r="F251" s="239" t="n">
        <x:v>46219.615277777775</x:v>
      </x:c>
      <x:c r="G251" s="240" t="n">
        <x:v>0.0020833333333333333</x:v>
      </x:c>
      <x:c r="H251" s="267"/>
      <x:c r="I251" s="241" t="str">
        <x:v>Não</x:v>
      </x:c>
      <x:c r="J251" s="261" t="str"/>
      <x:c r="K251" s="240" t="n">
        <x:v>0.0125</x:v>
      </x:c>
      <x:c r="L251" s="241" t="str">
        <x:v>Fernanda_Gineco_16-07</x:v>
      </x:c>
      <x:c r="M251" s="242" t="n">
        <x:v>0.0020833333333333333</x:v>
      </x:c>
      <x:c r="N251" s="278" t="n">
        <x:v>35</x:v>
      </x:c>
    </x:row>
    <x:row r="252">
      <x:c r="A252" s="266" t="n">
        <x:v>46219</x:v>
      </x:c>
      <x:c r="B252" s="241" t="str">
        <x:v>Fernanda Ferreira D</x:v>
      </x:c>
      <x:c r="C252" s="241" t="str">
        <x:v>Ginecologia Clínica</x:v>
      </x:c>
      <x:c r="D252" s="241" t="str">
        <x:v>Paciente 28</x:v>
      </x:c>
      <x:c r="E252" s="239" t="n">
        <x:v>46219.62777777778</x:v>
      </x:c>
      <x:c r="F252" s="239" t="n">
        <x:v>46219.63055555556</x:v>
      </x:c>
      <x:c r="G252" s="240" t="n">
        <x:v>0.002777777777777778</x:v>
      </x:c>
      <x:c r="H252" s="267"/>
      <x:c r="I252" s="241" t="str">
        <x:v>Não</x:v>
      </x:c>
      <x:c r="J252" s="261" t="str"/>
      <x:c r="K252" s="240" t="n">
        <x:v>0.004166666666666667</x:v>
      </x:c>
      <x:c r="L252" s="241" t="str">
        <x:v>Fernanda_Gineco_16-07</x:v>
      </x:c>
      <x:c r="M252" s="242" t="n">
        <x:v>0.002777777777777778</x:v>
      </x:c>
      <x:c r="N252" s="278" t="n">
        <x:v>2</x:v>
      </x:c>
    </x:row>
    <x:row r="253">
      <x:c r="A253" s="266" t="n">
        <x:v>46219</x:v>
      </x:c>
      <x:c r="B253" s="241" t="str">
        <x:v>Fernanda Ferreira D</x:v>
      </x:c>
      <x:c r="C253" s="241" t="str">
        <x:v>Ginecologia Clínica</x:v>
      </x:c>
      <x:c r="D253" s="241" t="str">
        <x:v>Paciente 29</x:v>
      </x:c>
      <x:c r="E253" s="239" t="n">
        <x:v>46219.634722222225</x:v>
      </x:c>
      <x:c r="F253" s="239" t="n">
        <x:v>46219.64027777778</x:v>
      </x:c>
      <x:c r="G253" s="240" t="n">
        <x:v>0.005555555555555556</x:v>
      </x:c>
      <x:c r="H253" s="267"/>
      <x:c r="I253" s="241" t="str">
        <x:v>Não</x:v>
      </x:c>
      <x:c r="J253" s="261" t="str"/>
      <x:c r="K253" s="240" t="n">
        <x:v>0.0006944444444444445</x:v>
      </x:c>
      <x:c r="L253" s="241" t="str">
        <x:v>Fernanda_Gineco_16-07</x:v>
      </x:c>
      <x:c r="M253" s="242" t="n">
        <x:v>0.005555555555555556</x:v>
      </x:c>
      <x:c r="N253" s="278" t="n">
        <x:v>14</x:v>
      </x:c>
    </x:row>
    <x:row r="254">
      <x:c r="A254" s="266" t="n">
        <x:v>46219</x:v>
      </x:c>
      <x:c r="B254" s="241" t="str">
        <x:v>Fernanda Ferreira D</x:v>
      </x:c>
      <x:c r="C254" s="241" t="str">
        <x:v>Ginecologia Clínica</x:v>
      </x:c>
      <x:c r="D254" s="241" t="str">
        <x:v>Paciente 30</x:v>
      </x:c>
      <x:c r="E254" s="239" t="n">
        <x:v>46219.64097222222</x:v>
      </x:c>
      <x:c r="F254" s="239" t="n">
        <x:v>46219.649305555555</x:v>
      </x:c>
      <x:c r="G254" s="240" t="n">
        <x:v>0.008333333333333333</x:v>
      </x:c>
      <x:c r="H254" s="267"/>
      <x:c r="I254" s="241" t="str">
        <x:v>Não</x:v>
      </x:c>
      <x:c r="J254" s="261" t="str"/>
      <x:c r="K254" s="240" t="n">
        <x:v>0.001388888888888889</x:v>
      </x:c>
      <x:c r="L254" s="241" t="str">
        <x:v>Fernanda_Gineco_16-07</x:v>
      </x:c>
      <x:c r="M254" s="242" t="n">
        <x:v>0.008333333333333333</x:v>
      </x:c>
      <x:c r="N254" s="278" t="n">
        <x:v>75</x:v>
      </x:c>
    </x:row>
    <x:row r="255">
      <x:c r="A255" s="266" t="n">
        <x:v>46219</x:v>
      </x:c>
      <x:c r="B255" s="241" t="str">
        <x:v>Fernanda Ferreira D</x:v>
      </x:c>
      <x:c r="C255" s="241" t="str">
        <x:v>Ginecologia Clínica</x:v>
      </x:c>
      <x:c r="D255" s="241" t="str">
        <x:v>Paciente 31</x:v>
      </x:c>
      <x:c r="E255" s="239" t="n">
        <x:v>46219.65069444444</x:v>
      </x:c>
      <x:c r="F255" s="239" t="n">
        <x:v>46219.65694444445</x:v>
      </x:c>
      <x:c r="G255" s="240" t="n">
        <x:v>0.00625</x:v>
      </x:c>
      <x:c r="H255" s="267"/>
      <x:c r="I255" s="241" t="str">
        <x:v>Não</x:v>
      </x:c>
      <x:c r="J255" s="261" t="str"/>
      <x:c r="K255" s="240" t="n">
        <x:v>0.004166666666666667</x:v>
      </x:c>
      <x:c r="L255" s="241" t="str">
        <x:v>Fernanda_Gineco_16-07</x:v>
      </x:c>
      <x:c r="M255" s="242" t="n">
        <x:v>0.00625</x:v>
      </x:c>
      <x:c r="N255" s="278" t="n">
        <x:v>9</x:v>
      </x:c>
    </x:row>
    <x:row r="256">
      <x:c r="A256" s="266" t="n">
        <x:v>46219</x:v>
      </x:c>
      <x:c r="B256" s="241" t="str">
        <x:v>Fernanda Ferreira D</x:v>
      </x:c>
      <x:c r="C256" s="241" t="str">
        <x:v>Ginecologia Clínica</x:v>
      </x:c>
      <x:c r="D256" s="241" t="str">
        <x:v>Paciente 32</x:v>
      </x:c>
      <x:c r="E256" s="239" t="n">
        <x:v>46219.66111111111</x:v>
      </x:c>
      <x:c r="F256" s="239" t="n">
        <x:v>46219.663194444445</x:v>
      </x:c>
      <x:c r="G256" s="240" t="n">
        <x:v>0.0020833333333333333</x:v>
      </x:c>
      <x:c r="H256" s="267"/>
      <x:c r="I256" s="241" t="str">
        <x:v>Não</x:v>
      </x:c>
      <x:c r="J256" s="261" t="str"/>
      <x:c r="K256" s="240"/>
      <x:c r="L256" s="241" t="str">
        <x:v>Fernanda_Gineco_16-07</x:v>
      </x:c>
      <x:c r="M256" s="242" t="n">
        <x:v>0.0020833333333333333</x:v>
      </x:c>
      <x:c r="N256" s="278" t="n">
        <x:v>22</x:v>
      </x:c>
    </x:row>
    <x:row r="257">
      <x:c r="A257" s="266" t="n">
        <x:v>46219</x:v>
      </x:c>
      <x:c r="B257" s="241" t="str">
        <x:v>André Hahn Magarino</x:v>
      </x:c>
      <x:c r="C257" s="241" t="str">
        <x:v>Ginecologia Clínica</x:v>
      </x:c>
      <x:c r="D257" s="241" t="str">
        <x:v>Paciente 1</x:v>
      </x:c>
      <x:c r="E257" s="239" t="n">
        <x:v>46219.34930555556</x:v>
      </x:c>
      <x:c r="F257" s="239" t="n">
        <x:v>46219.361805555556</x:v>
      </x:c>
      <x:c r="G257" s="240" t="n">
        <x:v>0.0125</x:v>
      </x:c>
      <x:c r="H257" s="267"/>
      <x:c r="I257" s="241" t="str">
        <x:v>Não</x:v>
      </x:c>
      <x:c r="J257" s="261" t="str"/>
      <x:c r="K257" s="240" t="n">
        <x:v>0.0006944444444444445</x:v>
      </x:c>
      <x:c r="L257" s="241" t="str">
        <x:v>Andre_Gineco_16-07</x:v>
      </x:c>
      <x:c r="M257" s="242" t="n">
        <x:v>0.0125</x:v>
      </x:c>
      <x:c r="N257" s="278" t="n">
        <x:v>22</x:v>
      </x:c>
    </x:row>
    <x:row r="258">
      <x:c r="A258" s="266" t="n">
        <x:v>46219</x:v>
      </x:c>
      <x:c r="B258" s="241" t="str">
        <x:v>André Hahn Magarino</x:v>
      </x:c>
      <x:c r="C258" s="241" t="str">
        <x:v>Ginecologia Clínica</x:v>
      </x:c>
      <x:c r="D258" s="241" t="str">
        <x:v>Paciente 2</x:v>
      </x:c>
      <x:c r="E258" s="239" t="n">
        <x:v>46219.3625</x:v>
      </x:c>
      <x:c r="F258" s="239" t="n">
        <x:v>46219.37777777778</x:v>
      </x:c>
      <x:c r="G258" s="240" t="n">
        <x:v>0.015277777777777777</x:v>
      </x:c>
      <x:c r="H258" s="267"/>
      <x:c r="I258" s="241" t="str">
        <x:v>Não</x:v>
      </x:c>
      <x:c r="J258" s="261" t="str"/>
      <x:c r="K258" s="240" t="n">
        <x:v>0</x:v>
      </x:c>
      <x:c r="L258" s="241" t="str">
        <x:v>Andre_Gineco_16-07</x:v>
      </x:c>
      <x:c r="M258" s="242" t="n">
        <x:v>0.015277777777777777</x:v>
      </x:c>
      <x:c r="N258" s="278" t="n">
        <x:v>42</x:v>
      </x:c>
    </x:row>
    <x:row r="259">
      <x:c r="A259" s="266" t="n">
        <x:v>46219</x:v>
      </x:c>
      <x:c r="B259" s="241" t="str">
        <x:v>André Hahn Magarino</x:v>
      </x:c>
      <x:c r="C259" s="241" t="str">
        <x:v>Ginecologia Clínica</x:v>
      </x:c>
      <x:c r="D259" s="241" t="str">
        <x:v>Paciente 3</x:v>
      </x:c>
      <x:c r="E259" s="239" t="n">
        <x:v>46219.37777777778</x:v>
      </x:c>
      <x:c r="F259" s="239" t="n">
        <x:v>46219.39375</x:v>
      </x:c>
      <x:c r="G259" s="240" t="n">
        <x:v>0.01597222222222222</x:v>
      </x:c>
      <x:c r="H259" s="267"/>
      <x:c r="I259" s="241" t="str">
        <x:v>Não</x:v>
      </x:c>
      <x:c r="J259" s="261" t="str"/>
      <x:c r="K259" s="240" t="n">
        <x:v>0.0006944444444444445</x:v>
      </x:c>
      <x:c r="L259" s="241" t="str">
        <x:v>Andre_Gineco_16-07</x:v>
      </x:c>
      <x:c r="M259" s="242" t="n">
        <x:v>0.01597222222222222</x:v>
      </x:c>
      <x:c r="N259" s="278" t="n">
        <x:v>56</x:v>
      </x:c>
    </x:row>
    <x:row r="260">
      <x:c r="A260" s="266" t="n">
        <x:v>46219</x:v>
      </x:c>
      <x:c r="B260" s="241" t="str">
        <x:v>André Hahn Magarino</x:v>
      </x:c>
      <x:c r="C260" s="241" t="str">
        <x:v>Ginecologia Clínica</x:v>
      </x:c>
      <x:c r="D260" s="241" t="str">
        <x:v>Paciente 4</x:v>
      </x:c>
      <x:c r="E260" s="239" t="n">
        <x:v>46219.39444444444</x:v>
      </x:c>
      <x:c r="F260" s="239" t="n">
        <x:v>46219.415972222225</x:v>
      </x:c>
      <x:c r="G260" s="240" t="n">
        <x:v>0.021527777777777778</x:v>
      </x:c>
      <x:c r="H260" s="267"/>
      <x:c r="I260" s="241" t="str">
        <x:v>Não</x:v>
      </x:c>
      <x:c r="J260" s="261" t="str"/>
      <x:c r="K260" s="240" t="n">
        <x:v>0</x:v>
      </x:c>
      <x:c r="L260" s="241" t="str">
        <x:v>Andre_Gineco_16-07</x:v>
      </x:c>
      <x:c r="M260" s="242" t="n">
        <x:v>0.021527777777777778</x:v>
      </x:c>
      <x:c r="N260" s="278" t="n">
        <x:v>59</x:v>
      </x:c>
    </x:row>
    <x:row r="261">
      <x:c r="A261" s="266" t="n">
        <x:v>46219</x:v>
      </x:c>
      <x:c r="B261" s="241" t="str">
        <x:v>André Hahn Magarino</x:v>
      </x:c>
      <x:c r="C261" s="241" t="str">
        <x:v>Ginecologia Clínica</x:v>
      </x:c>
      <x:c r="D261" s="241" t="str">
        <x:v>Paciente 5</x:v>
      </x:c>
      <x:c r="E261" s="239" t="n">
        <x:v>46219.415972222225</x:v>
      </x:c>
      <x:c r="F261" s="239" t="n">
        <x:v>46219.438888888886</x:v>
      </x:c>
      <x:c r="G261" s="240" t="n">
        <x:v>0.022916666666666665</x:v>
      </x:c>
      <x:c r="H261" s="267"/>
      <x:c r="I261" s="241" t="str">
        <x:v>Não</x:v>
      </x:c>
      <x:c r="J261" s="261" t="str"/>
      <x:c r="K261" s="240" t="n">
        <x:v>0</x:v>
      </x:c>
      <x:c r="L261" s="241" t="str">
        <x:v>Andre_Gineco_16-07</x:v>
      </x:c>
      <x:c r="M261" s="242" t="n">
        <x:v>0.022916666666666665</x:v>
      </x:c>
      <x:c r="N261" s="278" t="n">
        <x:v>105</x:v>
      </x:c>
    </x:row>
    <x:row r="262">
      <x:c r="A262" s="266" t="n">
        <x:v>46219</x:v>
      </x:c>
      <x:c r="B262" s="241" t="str">
        <x:v>André Hahn Magarino</x:v>
      </x:c>
      <x:c r="C262" s="241" t="str">
        <x:v>Ginecologia Clínica</x:v>
      </x:c>
      <x:c r="D262" s="241" t="str">
        <x:v>Paciente 6</x:v>
      </x:c>
      <x:c r="E262" s="239" t="n">
        <x:v>46219.438888888886</x:v>
      </x:c>
      <x:c r="F262" s="239" t="n">
        <x:v>46219.45347222222</x:v>
      </x:c>
      <x:c r="G262" s="240" t="n">
        <x:v>0.014583333333333334</x:v>
      </x:c>
      <x:c r="H262" s="267"/>
      <x:c r="I262" s="241" t="str">
        <x:v>Não</x:v>
      </x:c>
      <x:c r="J262" s="261" t="str"/>
      <x:c r="K262" s="240" t="n">
        <x:v>0</x:v>
      </x:c>
      <x:c r="L262" s="241" t="str">
        <x:v>Andre_Gineco_16-07</x:v>
      </x:c>
      <x:c r="M262" s="242" t="n">
        <x:v>0.014583333333333334</x:v>
      </x:c>
      <x:c r="N262" s="278" t="n">
        <x:v>138</x:v>
      </x:c>
    </x:row>
    <x:row r="263">
      <x:c r="A263" s="266" t="n">
        <x:v>46219</x:v>
      </x:c>
      <x:c r="B263" s="241" t="str">
        <x:v>André Hahn Magarino</x:v>
      </x:c>
      <x:c r="C263" s="241" t="str">
        <x:v>Ginecologia Clínica</x:v>
      </x:c>
      <x:c r="D263" s="241" t="str">
        <x:v>Paciente 7</x:v>
      </x:c>
      <x:c r="E263" s="239" t="n">
        <x:v>46219.45347222222</x:v>
      </x:c>
      <x:c r="F263" s="239" t="n">
        <x:v>46219.458333333336</x:v>
      </x:c>
      <x:c r="G263" s="240" t="n">
        <x:v>0.004861111111111111</x:v>
      </x:c>
      <x:c r="H263" s="267"/>
      <x:c r="I263" s="241" t="str">
        <x:v>Não</x:v>
      </x:c>
      <x:c r="J263" s="261" t="str"/>
      <x:c r="K263" s="240" t="n">
        <x:v>0.0006944444444444445</x:v>
      </x:c>
      <x:c r="L263" s="241" t="str">
        <x:v>Andre_Gineco_16-07</x:v>
      </x:c>
      <x:c r="M263" s="242" t="n">
        <x:v>0.004861111111111111</x:v>
      </x:c>
      <x:c r="N263" s="278" t="n">
        <x:v>111</x:v>
      </x:c>
    </x:row>
    <x:row r="264">
      <x:c r="A264" s="266" t="n">
        <x:v>46219</x:v>
      </x:c>
      <x:c r="B264" s="241" t="str">
        <x:v>André Hahn Magarino</x:v>
      </x:c>
      <x:c r="C264" s="241" t="str">
        <x:v>Ginecologia Clínica</x:v>
      </x:c>
      <x:c r="D264" s="241" t="str">
        <x:v>Paciente 8</x:v>
      </x:c>
      <x:c r="E264" s="239" t="n">
        <x:v>46219.459027777775</x:v>
      </x:c>
      <x:c r="F264" s="239" t="n">
        <x:v>46219.47083333333</x:v>
      </x:c>
      <x:c r="G264" s="240" t="n">
        <x:v>0.011805555555555555</x:v>
      </x:c>
      <x:c r="H264" s="267"/>
      <x:c r="I264" s="241" t="str">
        <x:v>Não</x:v>
      </x:c>
      <x:c r="J264" s="261" t="str"/>
      <x:c r="K264" s="240" t="n">
        <x:v>0.0006944444444444445</x:v>
      </x:c>
      <x:c r="L264" s="241" t="str">
        <x:v>Andre_Gineco_16-07</x:v>
      </x:c>
      <x:c r="M264" s="242" t="n">
        <x:v>0.011805555555555555</x:v>
      </x:c>
      <x:c r="N264" s="278" t="n">
        <x:v>167</x:v>
      </x:c>
    </x:row>
    <x:row r="265">
      <x:c r="A265" s="266" t="n">
        <x:v>46219</x:v>
      </x:c>
      <x:c r="B265" s="241" t="str">
        <x:v>André Hahn Magarino</x:v>
      </x:c>
      <x:c r="C265" s="241" t="str">
        <x:v>Ginecologia Clínica</x:v>
      </x:c>
      <x:c r="D265" s="241" t="str">
        <x:v>Paciente 9</x:v>
      </x:c>
      <x:c r="E265" s="239" t="n">
        <x:v>46219.47152777778</x:v>
      </x:c>
      <x:c r="F265" s="239" t="n">
        <x:v>46219.475694444445</x:v>
      </x:c>
      <x:c r="G265" s="240" t="n">
        <x:v>0.004166666666666667</x:v>
      </x:c>
      <x:c r="H265" s="267"/>
      <x:c r="I265" s="241" t="str">
        <x:v>Não</x:v>
      </x:c>
      <x:c r="J265" s="261" t="str"/>
      <x:c r="K265" s="240" t="n">
        <x:v>0</x:v>
      </x:c>
      <x:c r="L265" s="241" t="str">
        <x:v>Andre_Gineco_16-07</x:v>
      </x:c>
      <x:c r="M265" s="242" t="n">
        <x:v>0.004166666666666667</x:v>
      </x:c>
      <x:c r="N265" s="278" t="n">
        <x:v>135</x:v>
      </x:c>
    </x:row>
    <x:row r="266">
      <x:c r="A266" s="266" t="n">
        <x:v>46219</x:v>
      </x:c>
      <x:c r="B266" s="241" t="str">
        <x:v>André Hahn Magarino</x:v>
      </x:c>
      <x:c r="C266" s="241" t="str">
        <x:v>Ginecologia Clínica</x:v>
      </x:c>
      <x:c r="D266" s="241" t="str">
        <x:v>Paciente 10</x:v>
      </x:c>
      <x:c r="E266" s="239" t="n">
        <x:v>46219.475694444445</x:v>
      </x:c>
      <x:c r="F266" s="239" t="n">
        <x:v>46219.48333333333</x:v>
      </x:c>
      <x:c r="G266" s="240" t="n">
        <x:v>0.007638888888888889</x:v>
      </x:c>
      <x:c r="H266" s="267"/>
      <x:c r="I266" s="241" t="str">
        <x:v>Não</x:v>
      </x:c>
      <x:c r="J266" s="261" t="str"/>
      <x:c r="K266" s="240" t="n">
        <x:v>0</x:v>
      </x:c>
      <x:c r="L266" s="241" t="str">
        <x:v>Andre_Gineco_16-07</x:v>
      </x:c>
      <x:c r="M266" s="242" t="n">
        <x:v>0.007638888888888889</x:v>
      </x:c>
      <x:c r="N266" s="278" t="n">
        <x:v>191</x:v>
      </x:c>
    </x:row>
    <x:row r="267">
      <x:c r="A267" s="266" t="n">
        <x:v>46219</x:v>
      </x:c>
      <x:c r="B267" s="241" t="str">
        <x:v>André Hahn Magarino</x:v>
      </x:c>
      <x:c r="C267" s="241" t="str">
        <x:v>Ginecologia Clínica</x:v>
      </x:c>
      <x:c r="D267" s="241" t="str">
        <x:v>Paciente 11</x:v>
      </x:c>
      <x:c r="E267" s="239" t="n">
        <x:v>46219.48333333333</x:v>
      </x:c>
      <x:c r="F267" s="239" t="n">
        <x:v>46219.49444444444</x:v>
      </x:c>
      <x:c r="G267" s="240" t="n">
        <x:v>0.011111111111111112</x:v>
      </x:c>
      <x:c r="H267" s="267"/>
      <x:c r="I267" s="241" t="str">
        <x:v>Não</x:v>
      </x:c>
      <x:c r="J267" s="261" t="str"/>
      <x:c r="K267" s="240" t="n">
        <x:v>0.0006944444444444445</x:v>
      </x:c>
      <x:c r="L267" s="241" t="str">
        <x:v>Andre_Gineco_16-07</x:v>
      </x:c>
      <x:c r="M267" s="242" t="n">
        <x:v>0.011111111111111112</x:v>
      </x:c>
      <x:c r="N267" s="278" t="n">
        <x:v>202</x:v>
      </x:c>
    </x:row>
    <x:row r="268">
      <x:c r="A268" s="266" t="n">
        <x:v>46219</x:v>
      </x:c>
      <x:c r="B268" s="241" t="str">
        <x:v>André Hahn Magarino</x:v>
      </x:c>
      <x:c r="C268" s="241" t="str">
        <x:v>Ginecologia Clínica</x:v>
      </x:c>
      <x:c r="D268" s="241" t="str">
        <x:v>Paciente 12</x:v>
      </x:c>
      <x:c r="E268" s="239" t="n">
        <x:v>46219.49513888889</x:v>
      </x:c>
      <x:c r="F268" s="239" t="n">
        <x:v>46219.513194444444</x:v>
      </x:c>
      <x:c r="G268" s="240" t="n">
        <x:v>0.018055555555555554</x:v>
      </x:c>
      <x:c r="H268" s="267"/>
      <x:c r="I268" s="241" t="str">
        <x:v>Não</x:v>
      </x:c>
      <x:c r="J268" s="261" t="str"/>
      <x:c r="K268" s="240" t="n">
        <x:v>0.0006944444444444445</x:v>
      </x:c>
      <x:c r="L268" s="241" t="str">
        <x:v>Andre_Gineco_16-07</x:v>
      </x:c>
      <x:c r="M268" s="242" t="n">
        <x:v>0.018055555555555554</x:v>
      </x:c>
      <x:c r="N268" s="278" t="n">
        <x:v>128</x:v>
      </x:c>
    </x:row>
    <x:row r="269">
      <x:c r="A269" s="266" t="n">
        <x:v>46219</x:v>
      </x:c>
      <x:c r="B269" s="241" t="str">
        <x:v>André Hahn Magarino</x:v>
      </x:c>
      <x:c r="C269" s="241" t="str">
        <x:v>Ginecologia Clínica</x:v>
      </x:c>
      <x:c r="D269" s="241" t="str">
        <x:v>Paciente 13</x:v>
      </x:c>
      <x:c r="E269" s="239" t="n">
        <x:v>46219.51388888889</x:v>
      </x:c>
      <x:c r="F269" s="239" t="n">
        <x:v>46219.52013888889</x:v>
      </x:c>
      <x:c r="G269" s="240" t="n">
        <x:v>0.00625</x:v>
      </x:c>
      <x:c r="H269" s="267"/>
      <x:c r="I269" s="241" t="str">
        <x:v>Não</x:v>
      </x:c>
      <x:c r="J269" s="261" t="str"/>
      <x:c r="K269" s="240" t="n">
        <x:v>0</x:v>
      </x:c>
      <x:c r="L269" s="241" t="str">
        <x:v>Andre_Gineco_16-07</x:v>
      </x:c>
      <x:c r="M269" s="242" t="n">
        <x:v>0.00625</x:v>
      </x:c>
      <x:c r="N269" s="278" t="n">
        <x:v>68</x:v>
      </x:c>
    </x:row>
    <x:row r="270">
      <x:c r="A270" s="266" t="n">
        <x:v>46219</x:v>
      </x:c>
      <x:c r="B270" s="241" t="str">
        <x:v>André Hahn Magarino</x:v>
      </x:c>
      <x:c r="C270" s="241" t="str">
        <x:v>Ginecologia Clínica</x:v>
      </x:c>
      <x:c r="D270" s="241" t="str">
        <x:v>Paciente 14</x:v>
      </x:c>
      <x:c r="E270" s="239" t="n">
        <x:v>46219.52013888889</x:v>
      </x:c>
      <x:c r="F270" s="239" t="n">
        <x:v>46219.53680555556</x:v>
      </x:c>
      <x:c r="G270" s="240" t="n">
        <x:v>0.016666666666666666</x:v>
      </x:c>
      <x:c r="H270" s="267"/>
      <x:c r="I270" s="241" t="str">
        <x:v>Não</x:v>
      </x:c>
      <x:c r="J270" s="261" t="str"/>
      <x:c r="K270" s="240" t="n">
        <x:v>0</x:v>
      </x:c>
      <x:c r="L270" s="241" t="str">
        <x:v>Andre_Gineco_16-07</x:v>
      </x:c>
      <x:c r="M270" s="242" t="n">
        <x:v>0.016666666666666666</x:v>
      </x:c>
      <x:c r="N270" s="278" t="n">
        <x:v>69</x:v>
      </x:c>
    </x:row>
    <x:row r="271">
      <x:c r="A271" s="266" t="n">
        <x:v>46219</x:v>
      </x:c>
      <x:c r="B271" s="241" t="str">
        <x:v>André Hahn Magarino</x:v>
      </x:c>
      <x:c r="C271" s="241" t="str">
        <x:v>Ginecologia Clínica</x:v>
      </x:c>
      <x:c r="D271" s="241" t="str">
        <x:v>Paciente 15</x:v>
      </x:c>
      <x:c r="E271" s="239" t="n">
        <x:v>46219.53680555556</x:v>
      </x:c>
      <x:c r="F271" s="239" t="n">
        <x:v>46219.55902777778</x:v>
      </x:c>
      <x:c r="G271" s="240" t="n">
        <x:v>0.022222222222222223</x:v>
      </x:c>
      <x:c r="H271" s="267"/>
      <x:c r="I271" s="241" t="str">
        <x:v>Não</x:v>
      </x:c>
      <x:c r="J271" s="261" t="str"/>
      <x:c r="K271" s="240" t="n">
        <x:v>0.009027777777777777</x:v>
      </x:c>
      <x:c r="L271" s="241" t="str">
        <x:v>Andre_Gineco_16-07</x:v>
      </x:c>
      <x:c r="M271" s="242" t="n">
        <x:v>0.022222222222222223</x:v>
      </x:c>
      <x:c r="N271" s="278" t="n">
        <x:v>49</x:v>
      </x:c>
    </x:row>
    <x:row r="272">
      <x:c r="A272" s="266" t="n">
        <x:v>46219</x:v>
      </x:c>
      <x:c r="B272" s="241" t="str">
        <x:v>André Hahn Magarino</x:v>
      </x:c>
      <x:c r="C272" s="241" t="str">
        <x:v>Ginecologia Clínica</x:v>
      </x:c>
      <x:c r="D272" s="241" t="str">
        <x:v>Paciente 16</x:v>
      </x:c>
      <x:c r="E272" s="239" t="n">
        <x:v>46219.56805555556</x:v>
      </x:c>
      <x:c r="F272" s="239" t="n">
        <x:v>46219.57777777778</x:v>
      </x:c>
      <x:c r="G272" s="240" t="n">
        <x:v>0.009722222222222222</x:v>
      </x:c>
      <x:c r="H272" s="267"/>
      <x:c r="I272" s="241" t="str">
        <x:v>Não</x:v>
      </x:c>
      <x:c r="J272" s="261" t="str"/>
      <x:c r="K272" s="240" t="n">
        <x:v>0</x:v>
      </x:c>
      <x:c r="L272" s="241" t="str">
        <x:v>Andre_Gineco_16-07</x:v>
      </x:c>
      <x:c r="M272" s="242" t="n">
        <x:v>0.009722222222222222</x:v>
      </x:c>
      <x:c r="N272" s="278" t="n">
        <x:v>324</x:v>
      </x:c>
    </x:row>
    <x:row r="273">
      <x:c r="A273" s="266" t="n">
        <x:v>46219</x:v>
      </x:c>
      <x:c r="B273" s="241" t="str">
        <x:v>André Hahn Magarino</x:v>
      </x:c>
      <x:c r="C273" s="241" t="str">
        <x:v>Ginecologia Clínica</x:v>
      </x:c>
      <x:c r="D273" s="241" t="str">
        <x:v>Paciente 17</x:v>
      </x:c>
      <x:c r="E273" s="239" t="n">
        <x:v>46219.57777777778</x:v>
      </x:c>
      <x:c r="F273" s="239" t="n">
        <x:v>46219.584027777775</x:v>
      </x:c>
      <x:c r="G273" s="240" t="n">
        <x:v>0.00625</x:v>
      </x:c>
      <x:c r="H273" s="267"/>
      <x:c r="I273" s="241" t="str">
        <x:v>Não</x:v>
      </x:c>
      <x:c r="J273" s="261" t="str"/>
      <x:c r="K273" s="240" t="n">
        <x:v>0.0006944444444444445</x:v>
      </x:c>
      <x:c r="L273" s="241" t="str">
        <x:v>Andre_Gineco_16-07</x:v>
      </x:c>
      <x:c r="M273" s="242" t="n">
        <x:v>0.00625</x:v>
      </x:c>
      <x:c r="N273" s="278" t="n">
        <x:v>41</x:v>
      </x:c>
    </x:row>
    <x:row r="274">
      <x:c r="A274" s="266" t="n">
        <x:v>46219</x:v>
      </x:c>
      <x:c r="B274" s="241" t="str">
        <x:v>André Hahn Magarino</x:v>
      </x:c>
      <x:c r="C274" s="241" t="str">
        <x:v>Ginecologia Clínica</x:v>
      </x:c>
      <x:c r="D274" s="241" t="str">
        <x:v>Paciente 18</x:v>
      </x:c>
      <x:c r="E274" s="239" t="n">
        <x:v>46219.58472222222</x:v>
      </x:c>
      <x:c r="F274" s="239" t="n">
        <x:v>46219.59722222222</x:v>
      </x:c>
      <x:c r="G274" s="240" t="n">
        <x:v>0.0125</x:v>
      </x:c>
      <x:c r="H274" s="267"/>
      <x:c r="I274" s="241" t="str">
        <x:v>Não</x:v>
      </x:c>
      <x:c r="J274" s="261" t="str"/>
      <x:c r="K274" s="240" t="n">
        <x:v>0</x:v>
      </x:c>
      <x:c r="L274" s="241" t="str">
        <x:v>Andre_Gineco_16-07</x:v>
      </x:c>
      <x:c r="M274" s="242" t="n">
        <x:v>0.0125</x:v>
      </x:c>
      <x:c r="N274" s="278" t="n">
        <x:v>29</x:v>
      </x:c>
    </x:row>
    <x:row r="275">
      <x:c r="A275" s="266" t="n">
        <x:v>46219</x:v>
      </x:c>
      <x:c r="B275" s="241" t="str">
        <x:v>André Hahn Magarino</x:v>
      </x:c>
      <x:c r="C275" s="241" t="str">
        <x:v>Ginecologia Clínica</x:v>
      </x:c>
      <x:c r="D275" s="241" t="str">
        <x:v>Paciente 19</x:v>
      </x:c>
      <x:c r="E275" s="239" t="n">
        <x:v>46219.59722222222</x:v>
      </x:c>
      <x:c r="F275" s="239" t="n">
        <x:v>46219.611805555556</x:v>
      </x:c>
      <x:c r="G275" s="240" t="n">
        <x:v>0.014583333333333334</x:v>
      </x:c>
      <x:c r="H275" s="267"/>
      <x:c r="I275" s="241" t="str">
        <x:v>Não</x:v>
      </x:c>
      <x:c r="J275" s="261" t="str"/>
      <x:c r="K275" s="240" t="n">
        <x:v>0.001388888888888889</x:v>
      </x:c>
      <x:c r="L275" s="241" t="str">
        <x:v>Andre_Gineco_16-07</x:v>
      </x:c>
      <x:c r="M275" s="242" t="n">
        <x:v>0.014583333333333334</x:v>
      </x:c>
      <x:c r="N275" s="278" t="n">
        <x:v>48</x:v>
      </x:c>
    </x:row>
    <x:row r="276">
      <x:c r="A276" s="266" t="n">
        <x:v>46219</x:v>
      </x:c>
      <x:c r="B276" s="241" t="str">
        <x:v>André Hahn Magarino</x:v>
      </x:c>
      <x:c r="C276" s="241" t="str">
        <x:v>Ginecologia Clínica</x:v>
      </x:c>
      <x:c r="D276" s="241" t="str">
        <x:v>Paciente 20</x:v>
      </x:c>
      <x:c r="E276" s="239" t="n">
        <x:v>46219.61319444444</x:v>
      </x:c>
      <x:c r="F276" s="239" t="n">
        <x:v>46219.623611111114</x:v>
      </x:c>
      <x:c r="G276" s="240" t="n">
        <x:v>0.010416666666666666</x:v>
      </x:c>
      <x:c r="H276" s="267"/>
      <x:c r="I276" s="241" t="str">
        <x:v>Não</x:v>
      </x:c>
      <x:c r="J276" s="261" t="str"/>
      <x:c r="K276" s="240" t="n">
        <x:v>0</x:v>
      </x:c>
      <x:c r="L276" s="241" t="str">
        <x:v>Andre_Gineco_16-07</x:v>
      </x:c>
      <x:c r="M276" s="242" t="n">
        <x:v>0.010416666666666666</x:v>
      </x:c>
      <x:c r="N276" s="278" t="n">
        <x:v>84</x:v>
      </x:c>
    </x:row>
    <x:row r="277">
      <x:c r="A277" s="266" t="n">
        <x:v>46219</x:v>
      </x:c>
      <x:c r="B277" s="241" t="str">
        <x:v>André Hahn Magarino</x:v>
      </x:c>
      <x:c r="C277" s="241" t="str">
        <x:v>Ginecologia Clínica</x:v>
      </x:c>
      <x:c r="D277" s="241" t="str">
        <x:v>Paciente 21</x:v>
      </x:c>
      <x:c r="E277" s="239" t="n">
        <x:v>46219.623611111114</x:v>
      </x:c>
      <x:c r="F277" s="239" t="n">
        <x:v>46219.62847222222</x:v>
      </x:c>
      <x:c r="G277" s="240" t="n">
        <x:v>0.004861111111111111</x:v>
      </x:c>
      <x:c r="H277" s="267"/>
      <x:c r="I277" s="241" t="str">
        <x:v>Não</x:v>
      </x:c>
      <x:c r="J277" s="261" t="str"/>
      <x:c r="K277" s="240" t="n">
        <x:v>0.0006944444444444445</x:v>
      </x:c>
      <x:c r="L277" s="241" t="str">
        <x:v>Andre_Gineco_16-07</x:v>
      </x:c>
      <x:c r="M277" s="242" t="n">
        <x:v>0.004861111111111111</x:v>
      </x:c>
      <x:c r="N277" s="278" t="n">
        <x:v>69</x:v>
      </x:c>
    </x:row>
    <x:row r="278">
      <x:c r="A278" s="266" t="n">
        <x:v>46219</x:v>
      </x:c>
      <x:c r="B278" s="241" t="str">
        <x:v>André Hahn Magarino</x:v>
      </x:c>
      <x:c r="C278" s="241" t="str">
        <x:v>Ginecologia Clínica</x:v>
      </x:c>
      <x:c r="D278" s="241" t="str">
        <x:v>Paciente 22</x:v>
      </x:c>
      <x:c r="E278" s="239" t="n">
        <x:v>46219.629166666666</x:v>
      </x:c>
      <x:c r="F278" s="239" t="n">
        <x:v>46219.63402777778</x:v>
      </x:c>
      <x:c r="G278" s="240" t="n">
        <x:v>0.004861111111111111</x:v>
      </x:c>
      <x:c r="H278" s="267"/>
      <x:c r="I278" s="241" t="str">
        <x:v>Não</x:v>
      </x:c>
      <x:c r="J278" s="261" t="str"/>
      <x:c r="K278" s="240" t="n">
        <x:v>0.0006944444444444445</x:v>
      </x:c>
      <x:c r="L278" s="241" t="str">
        <x:v>Andre_Gineco_16-07</x:v>
      </x:c>
      <x:c r="M278" s="242" t="n">
        <x:v>0.004861111111111111</x:v>
      </x:c>
      <x:c r="N278" s="278" t="n">
        <x:v>45</x:v>
      </x:c>
    </x:row>
    <x:row r="279">
      <x:c r="A279" s="266" t="n">
        <x:v>46219</x:v>
      </x:c>
      <x:c r="B279" s="241" t="str">
        <x:v>André Hahn Magarino</x:v>
      </x:c>
      <x:c r="C279" s="241" t="str">
        <x:v>Ginecologia Clínica</x:v>
      </x:c>
      <x:c r="D279" s="241" t="str">
        <x:v>Paciente 23</x:v>
      </x:c>
      <x:c r="E279" s="239" t="n">
        <x:v>46219.634722222225</x:v>
      </x:c>
      <x:c r="F279" s="239" t="n">
        <x:v>46219.64236111111</x:v>
      </x:c>
      <x:c r="G279" s="240" t="n">
        <x:v>0.007638888888888889</x:v>
      </x:c>
      <x:c r="H279" s="267"/>
      <x:c r="I279" s="241" t="str">
        <x:v>Não</x:v>
      </x:c>
      <x:c r="J279" s="261" t="str"/>
      <x:c r="K279" s="240" t="n">
        <x:v>0.0006944444444444445</x:v>
      </x:c>
      <x:c r="L279" s="241" t="str">
        <x:v>Andre_Gineco_16-07</x:v>
      </x:c>
      <x:c r="M279" s="242" t="n">
        <x:v>0.007638888888888889</x:v>
      </x:c>
      <x:c r="N279" s="278" t="n">
        <x:v>101</x:v>
      </x:c>
    </x:row>
    <x:row r="280">
      <x:c r="A280" s="266" t="n">
        <x:v>46219</x:v>
      </x:c>
      <x:c r="B280" s="241" t="str">
        <x:v>André Hahn Magarino</x:v>
      </x:c>
      <x:c r="C280" s="241" t="str">
        <x:v>Ginecologia Clínica</x:v>
      </x:c>
      <x:c r="D280" s="241" t="str">
        <x:v>Paciente 24</x:v>
      </x:c>
      <x:c r="E280" s="239" t="n">
        <x:v>46219.643055555556</x:v>
      </x:c>
      <x:c r="F280" s="239" t="n">
        <x:v>46219.65555555555</x:v>
      </x:c>
      <x:c r="G280" s="240" t="n">
        <x:v>0.0125</x:v>
      </x:c>
      <x:c r="H280" s="267"/>
      <x:c r="I280" s="241" t="str">
        <x:v>Não</x:v>
      </x:c>
      <x:c r="J280" s="261" t="str"/>
      <x:c r="K280" s="240" t="n">
        <x:v>0</x:v>
      </x:c>
      <x:c r="L280" s="241" t="str">
        <x:v>Andre_Gineco_16-07</x:v>
      </x:c>
      <x:c r="M280" s="242" t="n">
        <x:v>0.0125</x:v>
      </x:c>
      <x:c r="N280" s="278" t="n">
        <x:v>40</x:v>
      </x:c>
    </x:row>
    <x:row r="281">
      <x:c r="A281" s="266" t="n">
        <x:v>46219</x:v>
      </x:c>
      <x:c r="B281" s="241" t="str">
        <x:v>André Hahn Magarino</x:v>
      </x:c>
      <x:c r="C281" s="241" t="str">
        <x:v>Ginecologia Clínica</x:v>
      </x:c>
      <x:c r="D281" s="241" t="str">
        <x:v>Paciente 25</x:v>
      </x:c>
      <x:c r="E281" s="239" t="n">
        <x:v>46219.65555555555</x:v>
      </x:c>
      <x:c r="F281" s="239" t="n">
        <x:v>46219.66458333333</x:v>
      </x:c>
      <x:c r="G281" s="240" t="n">
        <x:v>0.009027777777777777</x:v>
      </x:c>
      <x:c r="H281" s="267"/>
      <x:c r="I281" s="241" t="str">
        <x:v>Não</x:v>
      </x:c>
      <x:c r="J281" s="261" t="str"/>
      <x:c r="K281" s="240" t="n">
        <x:v>0.0006944444444444445</x:v>
      </x:c>
      <x:c r="L281" s="241" t="str">
        <x:v>Andre_Gineco_16-07</x:v>
      </x:c>
      <x:c r="M281" s="242" t="n">
        <x:v>0.009027777777777777</x:v>
      </x:c>
      <x:c r="N281" s="278" t="n">
        <x:v>101</x:v>
      </x:c>
    </x:row>
    <x:row r="282">
      <x:c r="A282" s="266" t="n">
        <x:v>46219</x:v>
      </x:c>
      <x:c r="B282" s="241" t="str">
        <x:v>André Hahn Magarino</x:v>
      </x:c>
      <x:c r="C282" s="241" t="str">
        <x:v>Ginecologia Clínica</x:v>
      </x:c>
      <x:c r="D282" s="241" t="str">
        <x:v>Paciente 26</x:v>
      </x:c>
      <x:c r="E282" s="239" t="n">
        <x:v>46219.66527777778</x:v>
      </x:c>
      <x:c r="F282" s="239" t="n">
        <x:v>46219.68263888889</x:v>
      </x:c>
      <x:c r="G282" s="240" t="n">
        <x:v>0.017361111111111112</x:v>
      </x:c>
      <x:c r="H282" s="267"/>
      <x:c r="I282" s="241" t="str">
        <x:v>Não</x:v>
      </x:c>
      <x:c r="J282" s="261" t="str"/>
      <x:c r="K282" s="240" t="n">
        <x:v>0</x:v>
      </x:c>
      <x:c r="L282" s="241" t="str">
        <x:v>Andre_Gineco_16-07</x:v>
      </x:c>
      <x:c r="M282" s="242" t="n">
        <x:v>0.017361111111111112</x:v>
      </x:c>
      <x:c r="N282" s="278" t="n">
        <x:v>86</x:v>
      </x:c>
    </x:row>
    <x:row r="283">
      <x:c r="A283" s="266" t="n">
        <x:v>46219</x:v>
      </x:c>
      <x:c r="B283" s="241" t="str">
        <x:v>André Hahn Magarino</x:v>
      </x:c>
      <x:c r="C283" s="241" t="str">
        <x:v>Ginecologia Clínica</x:v>
      </x:c>
      <x:c r="D283" s="241" t="str">
        <x:v>Paciente 27</x:v>
      </x:c>
      <x:c r="E283" s="239" t="n">
        <x:v>46219.68263888889</x:v>
      </x:c>
      <x:c r="F283" s="239" t="n">
        <x:v>46219.69930555556</x:v>
      </x:c>
      <x:c r="G283" s="240" t="n">
        <x:v>0.016666666666666666</x:v>
      </x:c>
      <x:c r="H283" s="267"/>
      <x:c r="I283" s="241" t="str">
        <x:v>Não</x:v>
      </x:c>
      <x:c r="J283" s="261" t="str"/>
      <x:c r="K283" s="240" t="n">
        <x:v>0.001388888888888889</x:v>
      </x:c>
      <x:c r="L283" s="241" t="str">
        <x:v>Andre_Gineco_16-07</x:v>
      </x:c>
      <x:c r="M283" s="242" t="n">
        <x:v>0.016666666666666666</x:v>
      </x:c>
      <x:c r="N283" s="278" t="n">
        <x:v>135</x:v>
      </x:c>
    </x:row>
    <x:row r="284">
      <x:c r="A284" s="266" t="n">
        <x:v>46219</x:v>
      </x:c>
      <x:c r="B284" s="241" t="str">
        <x:v>André Hahn Magarino</x:v>
      </x:c>
      <x:c r="C284" s="241" t="str">
        <x:v>Ginecologia Clínica</x:v>
      </x:c>
      <x:c r="D284" s="241" t="str">
        <x:v>Paciente 28</x:v>
      </x:c>
      <x:c r="E284" s="239" t="n">
        <x:v>46219.700694444444</x:v>
      </x:c>
      <x:c r="F284" s="239" t="n">
        <x:v>46219.70763888889</x:v>
      </x:c>
      <x:c r="G284" s="240" t="n">
        <x:v>0.006944444444444444</x:v>
      </x:c>
      <x:c r="H284" s="267"/>
      <x:c r="I284" s="241" t="str">
        <x:v>Não</x:v>
      </x:c>
      <x:c r="J284" s="261" t="str"/>
      <x:c r="K284" s="240" t="n">
        <x:v>0</x:v>
      </x:c>
      <x:c r="L284" s="241" t="str">
        <x:v>Andre_Gineco_16-07</x:v>
      </x:c>
      <x:c r="M284" s="242" t="n">
        <x:v>0.006944444444444444</x:v>
      </x:c>
      <x:c r="N284" s="278" t="n">
        <x:v>92</x:v>
      </x:c>
    </x:row>
    <x:row r="285">
      <x:c r="A285" s="266" t="n">
        <x:v>46219</x:v>
      </x:c>
      <x:c r="B285" s="241" t="str">
        <x:v>André Hahn Magarino</x:v>
      </x:c>
      <x:c r="C285" s="241" t="str">
        <x:v>Ginecologia Clínica</x:v>
      </x:c>
      <x:c r="D285" s="241" t="str">
        <x:v>Paciente 29</x:v>
      </x:c>
      <x:c r="E285" s="239" t="n">
        <x:v>46219.70763888889</x:v>
      </x:c>
      <x:c r="F285" s="239" t="n">
        <x:v>46219.71527777778</x:v>
      </x:c>
      <x:c r="G285" s="240" t="n">
        <x:v>0.007638888888888889</x:v>
      </x:c>
      <x:c r="H285" s="267"/>
      <x:c r="I285" s="241" t="str">
        <x:v>Não</x:v>
      </x:c>
      <x:c r="J285" s="261" t="str"/>
      <x:c r="K285" s="240" t="n">
        <x:v>0.0020833333333333333</x:v>
      </x:c>
      <x:c r="L285" s="241" t="str">
        <x:v>Andre_Gineco_16-07</x:v>
      </x:c>
      <x:c r="M285" s="242" t="n">
        <x:v>0.007638888888888889</x:v>
      </x:c>
      <x:c r="N285" s="278" t="n">
        <x:v>76</x:v>
      </x:c>
    </x:row>
    <x:row r="286">
      <x:c r="A286" s="266" t="n">
        <x:v>46219</x:v>
      </x:c>
      <x:c r="B286" s="241" t="str">
        <x:v>André Hahn Magarino</x:v>
      </x:c>
      <x:c r="C286" s="241" t="str">
        <x:v>Ginecologia Clínica</x:v>
      </x:c>
      <x:c r="D286" s="241" t="str">
        <x:v>Paciente 30</x:v>
      </x:c>
      <x:c r="E286" s="239" t="n">
        <x:v>46219.717361111114</x:v>
      </x:c>
      <x:c r="F286" s="239" t="n">
        <x:v>46219.720138888886</x:v>
      </x:c>
      <x:c r="G286" s="240" t="n">
        <x:v>0.002777777777777778</x:v>
      </x:c>
      <x:c r="H286" s="267"/>
      <x:c r="I286" s="241" t="str">
        <x:v>Não</x:v>
      </x:c>
      <x:c r="J286" s="261" t="str"/>
      <x:c r="K286" s="240" t="n">
        <x:v>0</x:v>
      </x:c>
      <x:c r="L286" s="241" t="str">
        <x:v>Andre_Gineco_16-07</x:v>
      </x:c>
      <x:c r="M286" s="242" t="n">
        <x:v>0.002777777777777778</x:v>
      </x:c>
      <x:c r="N286" s="278" t="n">
        <x:v>126</x:v>
      </x:c>
    </x:row>
    <x:row r="287">
      <x:c r="A287" s="266" t="n">
        <x:v>46219</x:v>
      </x:c>
      <x:c r="B287" s="241" t="str">
        <x:v>André Hahn Magarino</x:v>
      </x:c>
      <x:c r="C287" s="241" t="str">
        <x:v>Ginecologia Clínica</x:v>
      </x:c>
      <x:c r="D287" s="241" t="str">
        <x:v>Paciente 31</x:v>
      </x:c>
      <x:c r="E287" s="239" t="n">
        <x:v>46219.720138888886</x:v>
      </x:c>
      <x:c r="F287" s="239" t="n">
        <x:v>46219.72638888889</x:v>
      </x:c>
      <x:c r="G287" s="240" t="n">
        <x:v>0.00625</x:v>
      </x:c>
      <x:c r="H287" s="267"/>
      <x:c r="I287" s="241" t="str">
        <x:v>Não</x:v>
      </x:c>
      <x:c r="J287" s="261" t="str"/>
      <x:c r="K287" s="240" t="n">
        <x:v>0</x:v>
      </x:c>
      <x:c r="L287" s="241" t="str">
        <x:v>Andre_Gineco_16-07</x:v>
      </x:c>
      <x:c r="M287" s="242" t="n">
        <x:v>0.00625</x:v>
      </x:c>
      <x:c r="N287" s="278" t="n">
        <x:v>85</x:v>
      </x:c>
    </x:row>
    <x:row r="288">
      <x:c r="A288" s="266" t="n">
        <x:v>46219</x:v>
      </x:c>
      <x:c r="B288" s="241" t="str">
        <x:v>André Hahn Magarino</x:v>
      </x:c>
      <x:c r="C288" s="241" t="str">
        <x:v>Ginecologia Clínica</x:v>
      </x:c>
      <x:c r="D288" s="241" t="str">
        <x:v>Paciente 32</x:v>
      </x:c>
      <x:c r="E288" s="239" t="n">
        <x:v>46219.72638888889</x:v>
      </x:c>
      <x:c r="F288" s="239" t="n">
        <x:v>46219.74166666667</x:v>
      </x:c>
      <x:c r="G288" s="240" t="n">
        <x:v>0.015277777777777777</x:v>
      </x:c>
      <x:c r="H288" s="267"/>
      <x:c r="I288" s="241" t="str">
        <x:v>Não</x:v>
      </x:c>
      <x:c r="J288" s="261" t="str"/>
      <x:c r="K288" s="240" t="n">
        <x:v>0</x:v>
      </x:c>
      <x:c r="L288" s="241" t="str">
        <x:v>Andre_Gineco_16-07</x:v>
      </x:c>
      <x:c r="M288" s="242" t="n">
        <x:v>0.015277777777777777</x:v>
      </x:c>
      <x:c r="N288" s="278" t="n">
        <x:v>97</x:v>
      </x:c>
    </x:row>
    <x:row r="289">
      <x:c r="A289" s="266" t="n">
        <x:v>46219</x:v>
      </x:c>
      <x:c r="B289" s="241" t="str">
        <x:v>André Hahn Magarino</x:v>
      </x:c>
      <x:c r="C289" s="241" t="str">
        <x:v>Ginecologia Clínica</x:v>
      </x:c>
      <x:c r="D289" s="241" t="str">
        <x:v>Paciente 33</x:v>
      </x:c>
      <x:c r="E289" s="239" t="n">
        <x:v>46219.74166666667</x:v>
      </x:c>
      <x:c r="F289" s="239" t="n">
        <x:v>46219.751388888886</x:v>
      </x:c>
      <x:c r="G289" s="240" t="n">
        <x:v>0.009722222222222222</x:v>
      </x:c>
      <x:c r="H289" s="267"/>
      <x:c r="I289" s="241" t="str">
        <x:v>Não</x:v>
      </x:c>
      <x:c r="J289" s="261" t="str"/>
      <x:c r="K289" s="240" t="n">
        <x:v>0</x:v>
      </x:c>
      <x:c r="L289" s="241" t="str">
        <x:v>Andre_Gineco_16-07</x:v>
      </x:c>
      <x:c r="M289" s="242" t="n">
        <x:v>0.009722222222222222</x:v>
      </x:c>
      <x:c r="N289" s="278" t="n">
        <x:v>220</x:v>
      </x:c>
    </x:row>
    <x:row r="290">
      <x:c r="A290" s="266" t="n">
        <x:v>46219</x:v>
      </x:c>
      <x:c r="B290" s="241" t="str">
        <x:v>André Hahn Magarino</x:v>
      </x:c>
      <x:c r="C290" s="241" t="str">
        <x:v>Ginecologia Clínica</x:v>
      </x:c>
      <x:c r="D290" s="241" t="str">
        <x:v>Paciente 34</x:v>
      </x:c>
      <x:c r="E290" s="239" t="n">
        <x:v>46219.751388888886</x:v>
      </x:c>
      <x:c r="F290" s="239" t="n">
        <x:v>46219.774305555555</x:v>
      </x:c>
      <x:c r="G290" s="240" t="n">
        <x:v>0.022916666666666665</x:v>
      </x:c>
      <x:c r="H290" s="267"/>
      <x:c r="I290" s="241" t="str">
        <x:v>Não</x:v>
      </x:c>
      <x:c r="J290" s="261" t="str"/>
      <x:c r="K290" s="240" t="n">
        <x:v>0</x:v>
      </x:c>
      <x:c r="L290" s="241" t="str">
        <x:v>Andre_Gineco_16-07</x:v>
      </x:c>
      <x:c r="M290" s="242" t="n">
        <x:v>0.022916666666666665</x:v>
      </x:c>
      <x:c r="N290" s="278" t="n">
        <x:v>89</x:v>
      </x:c>
    </x:row>
    <x:row r="291">
      <x:c r="A291" s="266" t="n">
        <x:v>46219</x:v>
      </x:c>
      <x:c r="B291" s="241" t="str">
        <x:v>André Hahn Magarino</x:v>
      </x:c>
      <x:c r="C291" s="241" t="str">
        <x:v>Ginecologia Clínica</x:v>
      </x:c>
      <x:c r="D291" s="241" t="str">
        <x:v>Paciente 35</x:v>
      </x:c>
      <x:c r="E291" s="239" t="n">
        <x:v>46219.774305555555</x:v>
      </x:c>
      <x:c r="F291" s="239" t="n">
        <x:v>46219.78333333333</x:v>
      </x:c>
      <x:c r="G291" s="240" t="n">
        <x:v>0.009027777777777777</x:v>
      </x:c>
      <x:c r="H291" s="267"/>
      <x:c r="I291" s="241" t="str">
        <x:v>Não</x:v>
      </x:c>
      <x:c r="J291" s="261" t="str"/>
      <x:c r="K291" s="240" t="n">
        <x:v>0</x:v>
      </x:c>
      <x:c r="L291" s="241" t="str">
        <x:v>Andre_Gineco_16-07</x:v>
      </x:c>
      <x:c r="M291" s="242" t="n">
        <x:v>0.009027777777777777</x:v>
      </x:c>
      <x:c r="N291" s="278" t="n">
        <x:v>118</x:v>
      </x:c>
    </x:row>
    <x:row r="292">
      <x:c r="A292" s="266" t="n">
        <x:v>46219</x:v>
      </x:c>
      <x:c r="B292" s="241" t="str">
        <x:v>André Hahn Magarino</x:v>
      </x:c>
      <x:c r="C292" s="241" t="str">
        <x:v>Ginecologia Clínica</x:v>
      </x:c>
      <x:c r="D292" s="241" t="str">
        <x:v>Paciente 36</x:v>
      </x:c>
      <x:c r="E292" s="239" t="n">
        <x:v>46219.78333333333</x:v>
      </x:c>
      <x:c r="F292" s="239" t="n">
        <x:v>46219.790972222225</x:v>
      </x:c>
      <x:c r="G292" s="240" t="n">
        <x:v>0.007638888888888889</x:v>
      </x:c>
      <x:c r="H292" s="267"/>
      <x:c r="I292" s="241" t="str">
        <x:v>Não</x:v>
      </x:c>
      <x:c r="J292" s="261" t="str"/>
      <x:c r="K292" s="240" t="n">
        <x:v>0.001388888888888889</x:v>
      </x:c>
      <x:c r="L292" s="241" t="str">
        <x:v>Andre_Gineco_16-07</x:v>
      </x:c>
      <x:c r="M292" s="242" t="n">
        <x:v>0.007638888888888889</x:v>
      </x:c>
      <x:c r="N292" s="278" t="n">
        <x:v>176</x:v>
      </x:c>
    </x:row>
    <x:row r="293">
      <x:c r="A293" s="266" t="n">
        <x:v>46219</x:v>
      </x:c>
      <x:c r="B293" s="241" t="str">
        <x:v>André Hahn Magarino</x:v>
      </x:c>
      <x:c r="C293" s="241" t="str">
        <x:v>Ginecologia Clínica</x:v>
      </x:c>
      <x:c r="D293" s="241" t="str">
        <x:v>Paciente 37</x:v>
      </x:c>
      <x:c r="E293" s="239" t="n">
        <x:v>46219.79236111111</x:v>
      </x:c>
      <x:c r="F293" s="239" t="n">
        <x:v>46219.80763888889</x:v>
      </x:c>
      <x:c r="G293" s="240" t="n">
        <x:v>0.015277777777777777</x:v>
      </x:c>
      <x:c r="H293" s="267"/>
      <x:c r="I293" s="241" t="str">
        <x:v>Não</x:v>
      </x:c>
      <x:c r="J293" s="261" t="str"/>
      <x:c r="K293" s="240" t="n">
        <x:v>0</x:v>
      </x:c>
      <x:c r="L293" s="241" t="str">
        <x:v>Andre_Gineco_16-07</x:v>
      </x:c>
      <x:c r="M293" s="242" t="n">
        <x:v>0.015277777777777777</x:v>
      </x:c>
      <x:c r="N293" s="278" t="n">
        <x:v>141</x:v>
      </x:c>
    </x:row>
    <x:row r="294">
      <x:c r="A294" s="268" t="n">
        <x:v>46219</x:v>
      </x:c>
      <x:c r="B294" s="246" t="str">
        <x:v>André Hahn Magarino</x:v>
      </x:c>
      <x:c r="C294" s="246" t="str">
        <x:v>Ginecologia Clínica</x:v>
      </x:c>
      <x:c r="D294" s="246" t="str">
        <x:v>Paciente 38</x:v>
      </x:c>
      <x:c r="E294" s="244" t="n">
        <x:v>46219.80763888889</x:v>
      </x:c>
      <x:c r="F294" s="244" t="n">
        <x:v>46219.82638888889</x:v>
      </x:c>
      <x:c r="G294" s="245" t="n">
        <x:v>0.01875</x:v>
      </x:c>
      <x:c r="H294" s="269"/>
      <x:c r="I294" s="246" t="str">
        <x:v>Não</x:v>
      </x:c>
      <x:c r="J294" s="262" t="str"/>
      <x:c r="K294" s="245"/>
      <x:c r="L294" s="246" t="str">
        <x:v>Andre_Gineco_16-07</x:v>
      </x:c>
      <x:c r="M294" s="247" t="n">
        <x:v>0.01875</x:v>
      </x:c>
      <x:c r="N294" s="279" t="n">
        <x:v>135</x:v>
      </x:c>
    </x:row>
  </x:sheetData>
  <x:mergeCells>
    <x:mergeCell ref="A1:L1"/>
  </x:mergeCells>
  <x:conditionalFormatting sqref="A3:L85">
    <x:cfRule type="expression" dxfId="0" priority="1">
      <x:formula>$I3="Sim"</x:formula>
    </x:cfRule>
  </x:conditionalFormatting>
  <x:conditionalFormatting sqref="A3:L189">
    <x:cfRule type="expression" dxfId="8" priority="2">
      <x:formula>$I3="Sim"</x:formula>
    </x:cfRule>
  </x:conditionalFormatting>
  <x:conditionalFormatting sqref="A190:M294">
    <x:cfRule type="expression" dxfId="13" priority="3">
      <x:formula>$I190="Sim"</x:formula>
    </x:cfRule>
  </x:conditionalFormatting>
  <x:conditionalFormatting sqref="N3:N294">
    <x:cfRule type="cellIs" dxfId="14" priority="4" operator="greaterThan">
      <x:formula>90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a91a90fd8e4c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51" t="str">
        <x:v>ANÁLISE DE ATENDIMENTOS - OBSTETRÍCIA / PRÉ-NATAL</x:v>
      </x:c>
      <x:c r="B1" s="51"/>
      <x:c r="C1" s="51"/>
      <x:c r="D1" s="51"/>
      <x:c r="E1" s="51"/>
      <x:c r="F1" s="51"/>
      <x:c r="G1" s="51"/>
      <x:c r="H1" s="51"/>
    </x:row>
    <x:row r="2">
      <x:c r="A2" s="57" t="str">
        <x:v>Médico</x:v>
      </x:c>
      <x:c r="B2" t="str">
        <x:v>Emanuel Decnop Mar</x:v>
      </x:c>
    </x:row>
    <x:row r="3">
      <x:c r="A3" s="57" t="str">
        <x:v>Especialidade</x:v>
      </x:c>
      <x:c r="B3" t="str">
        <x:v>Obstetrícia / Pré-Natal</x:v>
      </x:c>
    </x:row>
    <x:row r="4">
      <x:c r="A4" s="57" t="str">
        <x:v>Data</x:v>
      </x:c>
      <x:c r="B4" s="45" t="n">
        <x:v>46213</x:v>
      </x:c>
    </x:row>
    <x:row r="6" ht="38" customHeight="1">
      <x:c r="A6" s="63" t="str">
        <x:v>Nos casos de sobreposição, o tempo real é calculado pelo início do atendimento seguinte menos o início do atendimento atual.</x:v>
      </x:c>
      <x:c r="B6" s="63"/>
      <x:c r="C6" s="63"/>
      <x:c r="D6" s="63"/>
      <x:c r="E6" s="63"/>
      <x:c r="F6" s="63"/>
      <x:c r="G6" s="63"/>
      <x:c r="H6" s="63"/>
    </x:row>
    <x:row r="7" ht="42" customHeight="1">
      <x:c r="A7" s="76" t="n">
        <x:f>COUNTA(A9:A21)</x:f>
        <x:v>13</x:v>
      </x:c>
      <x:c r="B7" s="77" t="n">
        <x:f>AVERAGE(C9:C21)</x:f>
        <x:v>0.056143162394269336</x:v>
      </x:c>
      <x:c r="C7" s="77" t="n">
        <x:f>MAX(C9:C21)</x:f>
        <x:v>0.273611111115315</x:v>
      </x:c>
      <x:c r="D7" s="76" t="n">
        <x:f>COUNTIF(F9:F21,"Sim")</x:f>
        <x:v>4</x:v>
      </x:c>
      <x:c r="E7" s="77" t="n">
        <x:f>MAX(H9:H21)</x:f>
        <x:v>0.04652777777664596</x:v>
      </x:c>
      <x:c r="F7" s="77" t="n">
        <x:f>SUM(C9:C21)</x:f>
        <x:v>0.7298611111255013</x:v>
      </x:c>
      <x:c r="G7" s="77" t="n">
        <x:f>SUM(E9:E21)</x:f>
        <x:v>0.09513888889341615</x:v>
      </x:c>
      <x:c r="H7" s="76" t="n">
        <x:f>COUNT(E9:E21)</x:f>
        <x:v>4</x:v>
      </x:c>
    </x:row>
    <x:row r="8" ht="48" customHeight="1">
      <x:c r="A8" s="92" t="str">
        <x:v>Nome fila</x:v>
      </x:c>
      <x:c r="B8" s="92" t="str">
        <x:v>Início do atendimento</x:v>
      </x:c>
      <x:c r="C8" s="92" t="str">
        <x:v>Tempo de atendimento pelo sistema</x:v>
      </x:c>
      <x:c r="D8" s="92" t="str">
        <x:v>Término do atendimento</x:v>
      </x:c>
      <x:c r="E8" s="92" t="str">
        <x:v>Tempo de atendimento real</x:v>
      </x:c>
      <x:c r="F8" s="92" t="str">
        <x:v>Sobreposição identificada</x:v>
      </x:c>
      <x:c r="G8" s="92" t="str">
        <x:v>Observação</x:v>
      </x:c>
      <x:c r="H8" s="92" t="str">
        <x:v>Intervalo até o próximo atendimento</x:v>
      </x:c>
    </x:row>
    <x:row r="9">
      <x:c r="A9" s="98" t="str">
        <x:v>Paciente 1</x:v>
      </x:c>
      <x:c r="B9" s="123" t="n">
        <x:v>46213.347916666666</x:v>
      </x:c>
      <x:c r="C9" s="124" t="n">
        <x:f>D9-B9</x:f>
        <x:v>0.047916666670062114</x:v>
      </x:c>
      <x:c r="D9" s="123" t="n">
        <x:v>46213.395833333336</x:v>
      </x:c>
      <x:c r="E9" s="124" t="n">
        <x:f>IF(F9="Sim",B10-B9,"")</x:f>
        <x:v>0.015277777776645962</x:v>
      </x:c>
      <x:c r="F9" s="125" t="str">
        <x:f>IF(D9&gt;B10,"Sim","Não")</x:f>
        <x:v>Sim</x:v>
      </x:c>
      <x:c r="G9" s="144" t="str">
        <x:f>IF(F9="Sim","Término posterior ao início do atendimento seguinte","")</x:f>
        <x:v>Término posterior ao início do atendimento seguinte</x:v>
      </x:c>
      <x:c r="H9" s="138" t="n">
        <x:f>IF(B10&gt;D9,B10-D9,0)</x:f>
        <x:v>0</x:v>
      </x:c>
    </x:row>
    <x:row r="10">
      <x:c r="A10" s="103" t="str">
        <x:v>Paciente 2</x:v>
      </x:c>
      <x:c r="B10" s="126" t="n">
        <x:v>46213.36319444444</x:v>
      </x:c>
      <x:c r="C10" s="127" t="n">
        <x:f>D10-B10</x:f>
        <x:v>0.00972222222480923</x:v>
      </x:c>
      <x:c r="D10" s="126" t="n">
        <x:v>46213.37291666667</x:v>
      </x:c>
      <x:c r="E10" s="127" t="str">
        <x:f>IF(F10="Sim",B11-B10,"")</x:f>
      </x:c>
      <x:c r="F10" s="128" t="str">
        <x:f>IF(D10&gt;B11,"Sim","Não")</x:f>
        <x:v>Não</x:v>
      </x:c>
      <x:c r="G10" s="145" t="str">
        <x:f>IF(F10="Sim","Término posterior ao início do atendimento seguinte","")</x:f>
      </x:c>
      <x:c r="H10" s="139" t="n">
        <x:f>IF(B11&gt;D10,B11-D10,0)</x:f>
        <x:v>0.0013888888861401938</x:v>
      </x:c>
    </x:row>
    <x:row r="11">
      <x:c r="A11" s="103" t="str">
        <x:v>Paciente 3</x:v>
      </x:c>
      <x:c r="B11" s="126" t="n">
        <x:v>46213.37430555555</x:v>
      </x:c>
      <x:c r="C11" s="127" t="n">
        <x:f>D11-B11</x:f>
        <x:v>0.1548611111138598</x:v>
      </x:c>
      <x:c r="D11" s="126" t="n">
        <x:v>46213.52916666667</x:v>
      </x:c>
      <x:c r="E11" s="127" t="n">
        <x:f>IF(F11="Sim",B12-B11,"")</x:f>
        <x:v>0.022222222221898846</x:v>
      </x:c>
      <x:c r="F11" s="128" t="str">
        <x:f>IF(D11&gt;B12,"Sim","Não")</x:f>
        <x:v>Sim</x:v>
      </x:c>
      <x:c r="G11" s="145" t="str">
        <x:f>IF(F11="Sim","Término posterior ao início do atendimento seguinte","")</x:f>
        <x:v>Término posterior ao início do atendimento seguinte</x:v>
      </x:c>
      <x:c r="H11" s="139" t="n">
        <x:f>IF(B12&gt;D11,B12-D11,0)</x:f>
        <x:v>0</x:v>
      </x:c>
    </x:row>
    <x:row r="12">
      <x:c r="A12" s="103" t="str">
        <x:v>Paciente 4</x:v>
      </x:c>
      <x:c r="B12" s="126" t="n">
        <x:v>46213.396527777775</x:v>
      </x:c>
      <x:c r="C12" s="127" t="n">
        <x:f>D12-B12</x:f>
        <x:v>0.273611111115315</x:v>
      </x:c>
      <x:c r="D12" s="126" t="n">
        <x:v>46213.67013888889</x:v>
      </x:c>
      <x:c r="E12" s="127" t="n">
        <x:f>IF(F12="Sim",B13-B12,"")</x:f>
        <x:v>0.022916666668606922</x:v>
      </x:c>
      <x:c r="F12" s="128" t="str">
        <x:f>IF(D12&gt;B13,"Sim","Não")</x:f>
        <x:v>Sim</x:v>
      </x:c>
      <x:c r="G12" s="145" t="str">
        <x:f>IF(F12="Sim","Término posterior ao início do atendimento seguinte","")</x:f>
        <x:v>Término posterior ao início do atendimento seguinte</x:v>
      </x:c>
      <x:c r="H12" s="139" t="n">
        <x:f>IF(B13&gt;D12,B13-D12,0)</x:f>
        <x:v>0</x:v>
      </x:c>
    </x:row>
    <x:row r="13">
      <x:c r="A13" s="103" t="str">
        <x:v>Paciente 5</x:v>
      </x:c>
      <x:c r="B13" s="126" t="n">
        <x:v>46213.419444444444</x:v>
      </x:c>
      <x:c r="C13" s="127" t="n">
        <x:f>D13-B13</x:f>
        <x:v>0.11041666667006211</x:v>
      </x:c>
      <x:c r="D13" s="126" t="n">
        <x:v>46213.529861111114</x:v>
      </x:c>
      <x:c r="E13" s="127" t="n">
        <x:f>IF(F13="Sim",B14-B13,"")</x:f>
        <x:v>0.03472222222626442</x:v>
      </x:c>
      <x:c r="F13" s="128" t="str">
        <x:f>IF(D13&gt;B14,"Sim","Não")</x:f>
        <x:v>Sim</x:v>
      </x:c>
      <x:c r="G13" s="145" t="str">
        <x:f>IF(F13="Sim","Término posterior ao início do atendimento seguinte","")</x:f>
        <x:v>Término posterior ao início do atendimento seguinte</x:v>
      </x:c>
      <x:c r="H13" s="139" t="n">
        <x:f>IF(B14&gt;D13,B14-D13,0)</x:f>
        <x:v>0</x:v>
      </x:c>
    </x:row>
    <x:row r="14">
      <x:c r="A14" s="103" t="str">
        <x:v>Paciente 6</x:v>
      </x:c>
      <x:c r="B14" s="126" t="n">
        <x:v>46213.45416666667</x:v>
      </x:c>
      <x:c r="C14" s="127" t="n">
        <x:f>D14-B14</x:f>
        <x:v>0.016666666662786156</x:v>
      </x:c>
      <x:c r="D14" s="126" t="n">
        <x:v>46213.47083333333</x:v>
      </x:c>
      <x:c r="E14" s="127" t="str">
        <x:f>IF(F14="Sim",B15-B14,"")</x:f>
      </x:c>
      <x:c r="F14" s="128" t="str">
        <x:f>IF(D14&gt;B15,"Sim","Não")</x:f>
        <x:v>Não</x:v>
      </x:c>
      <x:c r="G14" s="145" t="str">
        <x:f>IF(F14="Sim","Término posterior ao início do atendimento seguinte","")</x:f>
      </x:c>
      <x:c r="H14" s="139" t="n">
        <x:f>IF(B15&gt;D14,B15-D14,0)</x:f>
        <x:v>0</x:v>
      </x:c>
    </x:row>
    <x:row r="15">
      <x:c r="A15" s="103" t="str">
        <x:v>Paciente 7</x:v>
      </x:c>
      <x:c r="B15" s="126" t="n">
        <x:v>46213.47083333333</x:v>
      </x:c>
      <x:c r="C15" s="127" t="n">
        <x:f>D15-B15</x:f>
        <x:v>0.009027777778101154</x:v>
      </x:c>
      <x:c r="D15" s="126" t="n">
        <x:v>46213.47986111111</x:v>
      </x:c>
      <x:c r="E15" s="127" t="str">
        <x:f>IF(F15="Sim",B16-B15,"")</x:f>
      </x:c>
      <x:c r="F15" s="128" t="str">
        <x:f>IF(D15&gt;B16,"Sim","Não")</x:f>
        <x:v>Não</x:v>
      </x:c>
      <x:c r="G15" s="145" t="str">
        <x:f>IF(F15="Sim","Término posterior ao início do atendimento seguinte","")</x:f>
      </x:c>
      <x:c r="H15" s="139" t="n">
        <x:f>IF(B16&gt;D15,B16-D15,0)</x:f>
        <x:v>0.0013888888861401938</x:v>
      </x:c>
    </x:row>
    <x:row r="16">
      <x:c r="A16" s="103" t="str">
        <x:v>Paciente 8</x:v>
      </x:c>
      <x:c r="B16" s="126" t="n">
        <x:v>46213.48125</x:v>
      </x:c>
      <x:c r="C16" s="127" t="n">
        <x:f>D16-B16</x:f>
        <x:v>0.037500000005820766</x:v>
      </x:c>
      <x:c r="D16" s="126" t="n">
        <x:v>46213.51875</x:v>
      </x:c>
      <x:c r="E16" s="127" t="str">
        <x:f>IF(F16="Sim",B17-B16,"")</x:f>
      </x:c>
      <x:c r="F16" s="128" t="str">
        <x:f>IF(D16&gt;B17,"Sim","Não")</x:f>
        <x:v>Não</x:v>
      </x:c>
      <x:c r="G16" s="145" t="str">
        <x:f>IF(F16="Sim","Término posterior ao início do atendimento seguinte","")</x:f>
      </x:c>
      <x:c r="H16" s="139" t="n">
        <x:f>IF(B17&gt;D16,B17-D16,0)</x:f>
        <x:v>0.0194444444423425</x:v>
      </x:c>
    </x:row>
    <x:row r="17">
      <x:c r="A17" s="103" t="str">
        <x:v>Paciente 9</x:v>
      </x:c>
      <x:c r="B17" s="126" t="n">
        <x:v>46213.538194444445</x:v>
      </x:c>
      <x:c r="C17" s="127" t="n">
        <x:f>D17-B17</x:f>
        <x:v>0.010416666664241347</x:v>
      </x:c>
      <x:c r="D17" s="126" t="n">
        <x:v>46213.54861111111</x:v>
      </x:c>
      <x:c r="E17" s="127" t="str">
        <x:f>IF(F17="Sim",B18-B17,"")</x:f>
      </x:c>
      <x:c r="F17" s="128" t="str">
        <x:f>IF(D17&gt;B18,"Sim","Não")</x:f>
        <x:v>Não</x:v>
      </x:c>
      <x:c r="G17" s="145" t="str">
        <x:f>IF(F17="Sim","Término posterior ao início do atendimento seguinte","")</x:f>
      </x:c>
      <x:c r="H17" s="139" t="n">
        <x:f>IF(B18&gt;D17,B18-D17,0)</x:f>
        <x:v>0.0013888888934161514</x:v>
      </x:c>
    </x:row>
    <x:row r="18">
      <x:c r="A18" s="103" t="str">
        <x:v>Paciente 10</x:v>
      </x:c>
      <x:c r="B18" s="126" t="n">
        <x:v>46213.55</x:v>
      </x:c>
      <x:c r="C18" s="127" t="n">
        <x:f>D18-B18</x:f>
        <x:v>0.01597222221607808</x:v>
      </x:c>
      <x:c r="D18" s="126" t="n">
        <x:v>46213.56597222222</x:v>
      </x:c>
      <x:c r="E18" s="127" t="str">
        <x:f>IF(F18="Sim",B19-B18,"")</x:f>
      </x:c>
      <x:c r="F18" s="128" t="str">
        <x:f>IF(D18&gt;B19,"Sim","Não")</x:f>
        <x:v>Não</x:v>
      </x:c>
      <x:c r="G18" s="145" t="str">
        <x:f>IF(F18="Sim","Término posterior ao início do atendimento seguinte","")</x:f>
      </x:c>
      <x:c r="H18" s="139" t="n">
        <x:f>IF(B19&gt;D18,B19-D18,0)</x:f>
        <x:v>0.022916666668606922</x:v>
      </x:c>
    </x:row>
    <x:row r="19">
      <x:c r="A19" s="103" t="str">
        <x:v>Paciente 11</x:v>
      </x:c>
      <x:c r="B19" s="126" t="n">
        <x:v>46213.58888888889</x:v>
      </x:c>
      <x:c r="C19" s="127" t="n">
        <x:f>D19-B19</x:f>
        <x:v>0.015972222223354038</x:v>
      </x:c>
      <x:c r="D19" s="126" t="n">
        <x:v>46213.60486111111</x:v>
      </x:c>
      <x:c r="E19" s="127" t="str">
        <x:f>IF(F19="Sim",B20-B19,"")</x:f>
      </x:c>
      <x:c r="F19" s="128" t="str">
        <x:f>IF(D19&gt;B20,"Sim","Não")</x:f>
        <x:v>Não</x:v>
      </x:c>
      <x:c r="G19" s="145" t="str">
        <x:f>IF(F19="Sim","Término posterior ao início do atendimento seguinte","")</x:f>
      </x:c>
      <x:c r="H19" s="139" t="n">
        <x:f>IF(B20&gt;D19,B20-D19,0)</x:f>
        <x:v>0.04652777777664596</x:v>
      </x:c>
    </x:row>
    <x:row r="20">
      <x:c r="A20" s="103" t="str">
        <x:v>Paciente 12</x:v>
      </x:c>
      <x:c r="B20" s="126" t="n">
        <x:v>46213.65138888889</x:v>
      </x:c>
      <x:c r="C20" s="127" t="n">
        <x:f>D20-B20</x:f>
        <x:v>0.013194444443797693</x:v>
      </x:c>
      <x:c r="D20" s="126" t="n">
        <x:v>46213.66458333333</x:v>
      </x:c>
      <x:c r="E20" s="127" t="str">
        <x:f>IF(F20="Sim",B21-B20,"")</x:f>
      </x:c>
      <x:c r="F20" s="128" t="str">
        <x:f>IF(D20&gt;B21,"Sim","Não")</x:f>
        <x:v>Não</x:v>
      </x:c>
      <x:c r="G20" s="145" t="str">
        <x:f>IF(F20="Sim","Término posterior ao início do atendimento seguinte","")</x:f>
      </x:c>
      <x:c r="H20" s="139" t="n">
        <x:f>IF(B21&gt;D20,B21-D20,0)</x:f>
        <x:v>0.03333333333284827</x:v>
      </x:c>
    </x:row>
    <x:row r="21">
      <x:c r="A21" s="106" t="str">
        <x:v>Paciente 13</x:v>
      </x:c>
      <x:c r="B21" s="129" t="n">
        <x:v>46213.697916666664</x:v>
      </x:c>
      <x:c r="C21" s="130" t="n">
        <x:f>D21-B21</x:f>
        <x:v>0.014583333337213844</x:v>
      </x:c>
      <x:c r="D21" s="129" t="n">
        <x:v>46213.7125</x:v>
      </x:c>
      <x:c r="E21" s="130"/>
      <x:c r="F21" s="131" t="str">
        <x:v>Não</x:v>
      </x:c>
      <x:c r="G21" s="146" t="str"/>
      <x:c r="H21" s="140"/>
    </x:row>
  </x:sheetData>
  <x:mergeCells>
    <x:mergeCell ref="A1:H1"/>
    <x:mergeCell ref="B2:H2"/>
    <x:mergeCell ref="B3:H3"/>
    <x:mergeCell ref="B4:H4"/>
    <x:mergeCell ref="A6:H6"/>
  </x:mergeCells>
  <x:conditionalFormatting sqref="A9:H21">
    <x:cfRule type="expression" dxfId="4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09c86e67a545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51" t="str">
        <x:v>ANÁLISE DE ATENDIMENTOS - GINECOLOGIA / OBSTETRÍCIA</x:v>
      </x:c>
      <x:c r="B1" s="51"/>
      <x:c r="C1" s="51"/>
      <x:c r="D1" s="51"/>
      <x:c r="E1" s="51"/>
      <x:c r="F1" s="51"/>
      <x:c r="G1" s="51"/>
      <x:c r="H1" s="51"/>
    </x:row>
    <x:row r="2">
      <x:c r="A2" s="57" t="str">
        <x:v>Médico</x:v>
      </x:c>
      <x:c r="B2" t="str">
        <x:v>Fernanda Ferreira D</x:v>
      </x:c>
    </x:row>
    <x:row r="3">
      <x:c r="A3" s="57" t="str">
        <x:v>Especialidade</x:v>
      </x:c>
      <x:c r="B3" t="str">
        <x:v>Ginecologia Clínica / Obstetrícia</x:v>
      </x:c>
    </x:row>
    <x:row r="4">
      <x:c r="A4" s="57" t="str">
        <x:v>Data</x:v>
      </x:c>
      <x:c r="B4" s="45" t="n">
        <x:v>46213</x:v>
      </x:c>
    </x:row>
    <x:row r="6" ht="38" customHeight="1">
      <x:c r="A6" s="63" t="str">
        <x:v>Nos casos de sobreposição, o tempo real é calculado pelo início do atendimento seguinte menos o início do atendimento atual.</x:v>
      </x:c>
      <x:c r="B6" s="63"/>
      <x:c r="C6" s="63"/>
      <x:c r="D6" s="63"/>
      <x:c r="E6" s="63"/>
      <x:c r="F6" s="63"/>
      <x:c r="G6" s="63"/>
      <x:c r="H6" s="63"/>
    </x:row>
    <x:row r="7" ht="42" customHeight="1">
      <x:c r="A7" s="76" t="n">
        <x:f>COUNTA(A9:A52)</x:f>
        <x:v>44</x:v>
      </x:c>
      <x:c r="B7" s="77" t="n">
        <x:f>AVERAGE(C9:C52)</x:f>
        <x:v>0.005855429292337662</x:v>
      </x:c>
      <x:c r="C7" s="77" t="n">
        <x:f>MAX(C9:C52)</x:f>
        <x:v>0.01388888888322981</x:v>
      </x:c>
      <x:c r="D7" s="76" t="n">
        <x:f>COUNTIF(F9:F52,"Sim")</x:f>
        <x:v>0</x:v>
      </x:c>
      <x:c r="E7" s="77" t="n">
        <x:f>MAX(H9:H52)</x:f>
        <x:v>0.031944444446708076</x:v>
      </x:c>
      <x:c r="F7" s="77" t="n">
        <x:f>SUM(C9:C52)</x:f>
        <x:v>0.25763888886285713</x:v>
      </x:c>
      <x:c r="G7" s="77" t="n">
        <x:f>SUM(E9:E52)</x:f>
        <x:v>0</x:v>
      </x:c>
      <x:c r="H7" s="76" t="n">
        <x:f>COUNT(E9:E52)</x:f>
        <x:v>0</x:v>
      </x:c>
    </x:row>
    <x:row r="8" ht="48" customHeight="1">
      <x:c r="A8" s="92" t="str">
        <x:v>Nome fila</x:v>
      </x:c>
      <x:c r="B8" s="92" t="str">
        <x:v>Início do atendimento</x:v>
      </x:c>
      <x:c r="C8" s="92" t="str">
        <x:v>Tempo de atendimento pelo sistema</x:v>
      </x:c>
      <x:c r="D8" s="92" t="str">
        <x:v>Término do atendimento</x:v>
      </x:c>
      <x:c r="E8" s="92" t="str">
        <x:v>Tempo de atendimento real</x:v>
      </x:c>
      <x:c r="F8" s="92" t="str">
        <x:v>Sobreposição identificada</x:v>
      </x:c>
      <x:c r="G8" s="92" t="str">
        <x:v>Observação</x:v>
      </x:c>
      <x:c r="H8" s="92" t="str">
        <x:v>Intervalo até o próximo atendimento</x:v>
      </x:c>
    </x:row>
    <x:row r="9">
      <x:c r="A9" s="98" t="str">
        <x:v>Paciente 1</x:v>
      </x:c>
      <x:c r="B9" s="123" t="n">
        <x:v>46213.37708333333</x:v>
      </x:c>
      <x:c r="C9" s="124" t="n">
        <x:f>D9-B9</x:f>
        <x:v>0.004861111112404615</x:v>
      </x:c>
      <x:c r="D9" s="123" t="n">
        <x:v>46213.381944444445</x:v>
      </x:c>
      <x:c r="E9" s="124" t="str">
        <x:f>IF(F9="Sim",B10-B9,"")</x:f>
      </x:c>
      <x:c r="F9" s="125" t="str">
        <x:f>IF(D9&gt;B10,"Sim","Não")</x:f>
        <x:v>Não</x:v>
      </x:c>
      <x:c r="G9" s="144" t="str">
        <x:f>IF(F9="Sim","Término posterior ao início do atendimento seguinte","")</x:f>
      </x:c>
      <x:c r="H9" s="138" t="n">
        <x:f>IF(B10&gt;D9,B10-D9,0)</x:f>
        <x:v>0.004166666665696539</x:v>
      </x:c>
    </x:row>
    <x:row r="10">
      <x:c r="A10" s="103" t="str">
        <x:v>Paciente 2</x:v>
      </x:c>
      <x:c r="B10" s="126" t="n">
        <x:v>46213.38611111111</x:v>
      </x:c>
      <x:c r="C10" s="127" t="n">
        <x:f>D10-B10</x:f>
        <x:v>0.0062499999985448085</x:v>
      </x:c>
      <x:c r="D10" s="126" t="n">
        <x:v>46213.39236111111</x:v>
      </x:c>
      <x:c r="E10" s="127" t="str">
        <x:f>IF(F10="Sim",B11-B10,"")</x:f>
      </x:c>
      <x:c r="F10" s="128" t="str">
        <x:f>IF(D10&gt;B11,"Sim","Não")</x:f>
        <x:v>Não</x:v>
      </x:c>
      <x:c r="G10" s="145" t="str">
        <x:f>IF(F10="Sim","Término posterior ao início do atendimento seguinte","")</x:f>
      </x:c>
      <x:c r="H10" s="139" t="n">
        <x:f>IF(B11&gt;D10,B11-D10,0)</x:f>
        <x:v>0.004861111112404615</x:v>
      </x:c>
    </x:row>
    <x:row r="11">
      <x:c r="A11" s="103" t="str">
        <x:v>Paciente 3</x:v>
      </x:c>
      <x:c r="B11" s="126" t="n">
        <x:v>46213.39722222222</x:v>
      </x:c>
      <x:c r="C11" s="127" t="n">
        <x:f>D11-B11</x:f>
        <x:v>0.002777777779556345</x:v>
      </x:c>
      <x:c r="D11" s="126" t="n">
        <x:v>46213.4</x:v>
      </x:c>
      <x:c r="E11" s="127" t="str">
        <x:f>IF(F11="Sim",B12-B11,"")</x:f>
      </x:c>
      <x:c r="F11" s="128" t="str">
        <x:f>IF(D11&gt;B12,"Sim","Não")</x:f>
        <x:v>Não</x:v>
      </x:c>
      <x:c r="G11" s="145" t="str">
        <x:f>IF(F11="Sim","Término posterior ao início do atendimento seguinte","")</x:f>
      </x:c>
      <x:c r="H11" s="139" t="n">
        <x:f>IF(B12&gt;D11,B12-D11,0)</x:f>
        <x:v>0.004861111112404615</x:v>
      </x:c>
    </x:row>
    <x:row r="12">
      <x:c r="A12" s="103" t="str">
        <x:v>Paciente 4</x:v>
      </x:c>
      <x:c r="B12" s="126" t="n">
        <x:v>46213.404861111114</x:v>
      </x:c>
      <x:c r="C12" s="127" t="n">
        <x:f>D12-B12</x:f>
        <x:v>0.008333333331393078</x:v>
      </x:c>
      <x:c r="D12" s="126" t="n">
        <x:v>46213.413194444445</x:v>
      </x:c>
      <x:c r="E12" s="127" t="str">
        <x:f>IF(F12="Sim",B13-B12,"")</x:f>
      </x:c>
      <x:c r="F12" s="128" t="str">
        <x:f>IF(D12&gt;B13,"Sim","Não")</x:f>
        <x:v>Não</x:v>
      </x:c>
      <x:c r="G12" s="145" t="str">
        <x:f>IF(F12="Sim","Término posterior ao início do atendimento seguinte","")</x:f>
      </x:c>
      <x:c r="H12" s="139" t="n">
        <x:f>IF(B13&gt;D12,B13-D12,0)</x:f>
        <x:v>0</x:v>
      </x:c>
    </x:row>
    <x:row r="13">
      <x:c r="A13" s="103" t="str">
        <x:v>Paciente 5</x:v>
      </x:c>
      <x:c r="B13" s="126" t="n">
        <x:v>46213.413194444445</x:v>
      </x:c>
      <x:c r="C13" s="127" t="n">
        <x:f>D13-B13</x:f>
        <x:v>0.002777777779556345</x:v>
      </x:c>
      <x:c r="D13" s="126" t="n">
        <x:v>46213.415972222225</x:v>
      </x:c>
      <x:c r="E13" s="127" t="str">
        <x:f>IF(F13="Sim",B14-B13,"")</x:f>
      </x:c>
      <x:c r="F13" s="128" t="str">
        <x:f>IF(D13&gt;B14,"Sim","Não")</x:f>
        <x:v>Não</x:v>
      </x:c>
      <x:c r="G13" s="145" t="str">
        <x:f>IF(F13="Sim","Término posterior ao início do atendimento seguinte","")</x:f>
      </x:c>
      <x:c r="H13" s="139" t="n">
        <x:f>IF(B14&gt;D13,B14-D13,0)</x:f>
        <x:v>0.004166666665696539</x:v>
      </x:c>
    </x:row>
    <x:row r="14">
      <x:c r="A14" s="103" t="str">
        <x:v>Paciente 6</x:v>
      </x:c>
      <x:c r="B14" s="126" t="n">
        <x:v>46213.42013888889</x:v>
      </x:c>
      <x:c r="C14" s="127" t="n">
        <x:f>D14-B14</x:f>
        <x:v>0.0034722222189884633</x:v>
      </x:c>
      <x:c r="D14" s="126" t="n">
        <x:v>46213.42361111111</x:v>
      </x:c>
      <x:c r="E14" s="127" t="str">
        <x:f>IF(F14="Sim",B15-B14,"")</x:f>
      </x:c>
      <x:c r="F14" s="128" t="str">
        <x:f>IF(D14&gt;B15,"Sim","Não")</x:f>
        <x:v>Não</x:v>
      </x:c>
      <x:c r="G14" s="145" t="str">
        <x:f>IF(F14="Sim","Término posterior ao início do atendimento seguinte","")</x:f>
      </x:c>
      <x:c r="H14" s="139" t="n">
        <x:f>IF(B15&gt;D14,B15-D14,0)</x:f>
        <x:v>0</x:v>
      </x:c>
    </x:row>
    <x:row r="15">
      <x:c r="A15" s="103" t="str">
        <x:v>Paciente 7</x:v>
      </x:c>
      <x:c r="B15" s="126" t="n">
        <x:v>46213.42361111111</x:v>
      </x:c>
      <x:c r="C15" s="127" t="n">
        <x:f>D15-B15</x:f>
        <x:v>0.004166666665696539</x:v>
      </x:c>
      <x:c r="D15" s="126" t="n">
        <x:v>46213.427777777775</x:v>
      </x:c>
      <x:c r="E15" s="127" t="str">
        <x:f>IF(F15="Sim",B16-B15,"")</x:f>
      </x:c>
      <x:c r="F15" s="128" t="str">
        <x:f>IF(D15&gt;B16,"Sim","Não")</x:f>
        <x:v>Não</x:v>
      </x:c>
      <x:c r="G15" s="145" t="str">
        <x:f>IF(F15="Sim","Término posterior ao início do atendimento seguinte","")</x:f>
      </x:c>
      <x:c r="H15" s="139" t="n">
        <x:f>IF(B16&gt;D15,B16-D15,0)</x:f>
        <x:v>0</x:v>
      </x:c>
    </x:row>
    <x:row r="16">
      <x:c r="A16" s="103" t="str">
        <x:v>Paciente 8</x:v>
      </x:c>
      <x:c r="B16" s="126" t="n">
        <x:v>46213.427777777775</x:v>
      </x:c>
      <x:c r="C16" s="127" t="n">
        <x:f>D16-B16</x:f>
        <x:v>0.004166666665696539</x:v>
      </x:c>
      <x:c r="D16" s="126" t="n">
        <x:v>46213.43194444444</x:v>
      </x:c>
      <x:c r="E16" s="127" t="str">
        <x:f>IF(F16="Sim",B17-B16,"")</x:f>
      </x:c>
      <x:c r="F16" s="128" t="str">
        <x:f>IF(D16&gt;B17,"Sim","Não")</x:f>
        <x:v>Não</x:v>
      </x:c>
      <x:c r="G16" s="145" t="str">
        <x:f>IF(F16="Sim","Término posterior ao início do atendimento seguinte","")</x:f>
      </x:c>
      <x:c r="H16" s="139" t="n">
        <x:f>IF(B17&gt;D16,B17-D16,0)</x:f>
        <x:v>0.00763888889196096</x:v>
      </x:c>
    </x:row>
    <x:row r="17">
      <x:c r="A17" s="103" t="str">
        <x:v>Paciente 9</x:v>
      </x:c>
      <x:c r="B17" s="126" t="n">
        <x:v>46213.43958333333</x:v>
      </x:c>
      <x:c r="C17" s="127" t="n">
        <x:f>D17-B17</x:f>
        <x:v>0.0062499999985448085</x:v>
      </x:c>
      <x:c r="D17" s="126" t="n">
        <x:v>46213.44583333333</x:v>
      </x:c>
      <x:c r="E17" s="127" t="str">
        <x:f>IF(F17="Sim",B18-B17,"")</x:f>
      </x:c>
      <x:c r="F17" s="128" t="str">
        <x:f>IF(D17&gt;B18,"Sim","Não")</x:f>
        <x:v>Não</x:v>
      </x:c>
      <x:c r="G17" s="145" t="str">
        <x:f>IF(F17="Sim","Término posterior ao início do atendimento seguinte","")</x:f>
      </x:c>
      <x:c r="H17" s="139" t="n">
        <x:f>IF(B18&gt;D17,B18-D17,0)</x:f>
        <x:v>0.0006944444467080757</x:v>
      </x:c>
    </x:row>
    <x:row r="18">
      <x:c r="A18" s="103" t="str">
        <x:v>Paciente 10</x:v>
      </x:c>
      <x:c r="B18" s="126" t="n">
        <x:v>46213.44652777778</x:v>
      </x:c>
      <x:c r="C18" s="127" t="n">
        <x:f>D18-B18</x:f>
        <x:v>0.0013888888861401938</x:v>
      </x:c>
      <x:c r="D18" s="126" t="n">
        <x:v>46213.447916666664</x:v>
      </x:c>
      <x:c r="E18" s="127" t="str">
        <x:f>IF(F18="Sim",B19-B18,"")</x:f>
      </x:c>
      <x:c r="F18" s="128" t="str">
        <x:f>IF(D18&gt;B19,"Sim","Não")</x:f>
        <x:v>Não</x:v>
      </x:c>
      <x:c r="G18" s="145" t="str">
        <x:f>IF(F18="Sim","Término posterior ao início do atendimento seguinte","")</x:f>
      </x:c>
      <x:c r="H18" s="139" t="n">
        <x:f>IF(B19&gt;D18,B19-D18,0)</x:f>
        <x:v>0</x:v>
      </x:c>
    </x:row>
    <x:row r="19">
      <x:c r="A19" s="103" t="str">
        <x:v>Paciente 11</x:v>
      </x:c>
      <x:c r="B19" s="126" t="n">
        <x:v>46213.447916666664</x:v>
      </x:c>
      <x:c r="C19" s="127" t="n">
        <x:f>D19-B19</x:f>
        <x:v>0.009027777778101154</x:v>
      </x:c>
      <x:c r="D19" s="126" t="n">
        <x:v>46213.45694444444</x:v>
      </x:c>
      <x:c r="E19" s="127" t="str">
        <x:f>IF(F19="Sim",B20-B19,"")</x:f>
      </x:c>
      <x:c r="F19" s="128" t="str">
        <x:f>IF(D19&gt;B20,"Sim","Não")</x:f>
        <x:v>Não</x:v>
      </x:c>
      <x:c r="G19" s="145" t="str">
        <x:f>IF(F19="Sim","Término posterior ao início do atendimento seguinte","")</x:f>
      </x:c>
      <x:c r="H19" s="139" t="n">
        <x:f>IF(B20&gt;D19,B20-D19,0)</x:f>
        <x:v>0.00763888889196096</x:v>
      </x:c>
    </x:row>
    <x:row r="20">
      <x:c r="A20" s="103" t="str">
        <x:v>Paciente 12</x:v>
      </x:c>
      <x:c r="B20" s="126" t="n">
        <x:v>46213.464583333334</x:v>
      </x:c>
      <x:c r="C20" s="127" t="n">
        <x:f>D20-B20</x:f>
        <x:v>0.002777777779556345</x:v>
      </x:c>
      <x:c r="D20" s="126" t="n">
        <x:v>46213.467361111114</x:v>
      </x:c>
      <x:c r="E20" s="127" t="str">
        <x:f>IF(F20="Sim",B21-B20,"")</x:f>
      </x:c>
      <x:c r="F20" s="128" t="str">
        <x:f>IF(D20&gt;B21,"Sim","Não")</x:f>
        <x:v>Não</x:v>
      </x:c>
      <x:c r="G20" s="145" t="str">
        <x:f>IF(F20="Sim","Término posterior ao início do atendimento seguinte","")</x:f>
      </x:c>
      <x:c r="H20" s="139" t="n">
        <x:f>IF(B21&gt;D20,B21-D20,0)</x:f>
        <x:v>0.0020833333328482695</x:v>
      </x:c>
    </x:row>
    <x:row r="21">
      <x:c r="A21" s="103" t="str">
        <x:v>Paciente 13</x:v>
      </x:c>
      <x:c r="B21" s="126" t="n">
        <x:v>46213.46944444445</x:v>
      </x:c>
      <x:c r="C21" s="127" t="n">
        <x:f>D21-B21</x:f>
        <x:v>0.005555555551836733</x:v>
      </x:c>
      <x:c r="D21" s="126" t="n">
        <x:v>46213.475</x:v>
      </x:c>
      <x:c r="E21" s="127" t="str">
        <x:f>IF(F21="Sim",B22-B21,"")</x:f>
      </x:c>
      <x:c r="F21" s="128" t="str">
        <x:f>IF(D21&gt;B22,"Sim","Não")</x:f>
        <x:v>Não</x:v>
      </x:c>
      <x:c r="G21" s="145" t="str">
        <x:f>IF(F21="Sim","Término posterior ao início do atendimento seguinte","")</x:f>
      </x:c>
      <x:c r="H21" s="139" t="n">
        <x:f>IF(B22&gt;D21,B22-D21,0)</x:f>
        <x:v>0.004861111112404615</x:v>
      </x:c>
    </x:row>
    <x:row r="22">
      <x:c r="A22" s="103" t="str">
        <x:v>Paciente 14</x:v>
      </x:c>
      <x:c r="B22" s="126" t="n">
        <x:v>46213.47986111111</x:v>
      </x:c>
      <x:c r="C22" s="127" t="n">
        <x:f>D22-B22</x:f>
        <x:v>0.00555555555911269</x:v>
      </x:c>
      <x:c r="D22" s="126" t="n">
        <x:v>46213.48541666667</x:v>
      </x:c>
      <x:c r="E22" s="127" t="str">
        <x:f>IF(F22="Sim",B23-B22,"")</x:f>
      </x:c>
      <x:c r="F22" s="128" t="str">
        <x:f>IF(D22&gt;B23,"Sim","Não")</x:f>
        <x:v>Não</x:v>
      </x:c>
      <x:c r="G22" s="145" t="str">
        <x:f>IF(F22="Sim","Término posterior ao início do atendimento seguinte","")</x:f>
      </x:c>
      <x:c r="H22" s="139" t="n">
        <x:f>IF(B23&gt;D22,B23-D22,0)</x:f>
        <x:v>0.0034722222189884633</x:v>
      </x:c>
    </x:row>
    <x:row r="23">
      <x:c r="A23" s="103" t="str">
        <x:v>Paciente 15</x:v>
      </x:c>
      <x:c r="B23" s="126" t="n">
        <x:v>46213.48888888889</x:v>
      </x:c>
      <x:c r="C23" s="127" t="n">
        <x:f>D23-B23</x:f>
        <x:v>0.006944444445252884</x:v>
      </x:c>
      <x:c r="D23" s="126" t="n">
        <x:v>46213.495833333334</x:v>
      </x:c>
      <x:c r="E23" s="127" t="str">
        <x:f>IF(F23="Sim",B24-B23,"")</x:f>
      </x:c>
      <x:c r="F23" s="128" t="str">
        <x:f>IF(D23&gt;B24,"Sim","Não")</x:f>
        <x:v>Não</x:v>
      </x:c>
      <x:c r="G23" s="145" t="str">
        <x:f>IF(F23="Sim","Término posterior ao início do atendimento seguinte","")</x:f>
      </x:c>
      <x:c r="H23" s="139" t="n">
        <x:f>IF(B24&gt;D23,B24-D23,0)</x:f>
        <x:v>0.0034722222189884633</x:v>
      </x:c>
    </x:row>
    <x:row r="24">
      <x:c r="A24" s="103" t="str">
        <x:v>Paciente 16</x:v>
      </x:c>
      <x:c r="B24" s="126" t="n">
        <x:v>46213.49930555555</x:v>
      </x:c>
      <x:c r="C24" s="127" t="n">
        <x:f>D24-B24</x:f>
        <x:v>0.0013888888934161514</x:v>
      </x:c>
      <x:c r="D24" s="126" t="n">
        <x:v>46213.50069444445</x:v>
      </x:c>
      <x:c r="E24" s="127" t="str">
        <x:f>IF(F24="Sim",B25-B24,"")</x:f>
      </x:c>
      <x:c r="F24" s="128" t="str">
        <x:f>IF(D24&gt;B25,"Sim","Não")</x:f>
        <x:v>Não</x:v>
      </x:c>
      <x:c r="G24" s="145" t="str">
        <x:f>IF(F24="Sim","Término posterior ao início do atendimento seguinte","")</x:f>
      </x:c>
      <x:c r="H24" s="139" t="n">
        <x:f>IF(B25&gt;D24,B25-D24,0)</x:f>
        <x:v>0.0034722222189884633</x:v>
      </x:c>
    </x:row>
    <x:row r="25">
      <x:c r="A25" s="103" t="str">
        <x:v>Paciente 17</x:v>
      </x:c>
      <x:c r="B25" s="126" t="n">
        <x:v>46213.504166666666</x:v>
      </x:c>
      <x:c r="C25" s="127" t="n">
        <x:f>D25-B25</x:f>
        <x:v>0.006944444445252884</x:v>
      </x:c>
      <x:c r="D25" s="126" t="n">
        <x:v>46213.51111111111</x:v>
      </x:c>
      <x:c r="E25" s="127" t="str">
        <x:f>IF(F25="Sim",B26-B25,"")</x:f>
      </x:c>
      <x:c r="F25" s="128" t="str">
        <x:f>IF(D25&gt;B26,"Sim","Não")</x:f>
        <x:v>Não</x:v>
      </x:c>
      <x:c r="G25" s="145" t="str">
        <x:f>IF(F25="Sim","Término posterior ao início do atendimento seguinte","")</x:f>
      </x:c>
      <x:c r="H25" s="139" t="n">
        <x:f>IF(B26&gt;D25,B26-D25,0)</x:f>
        <x:v>0.002777777779556345</x:v>
      </x:c>
    </x:row>
    <x:row r="26">
      <x:c r="A26" s="103" t="str">
        <x:v>Paciente 18</x:v>
      </x:c>
      <x:c r="B26" s="126" t="n">
        <x:v>46213.51388888889</x:v>
      </x:c>
      <x:c r="C26" s="127" t="n">
        <x:f>D26-B26</x:f>
        <x:v>0.004166666665696539</x:v>
      </x:c>
      <x:c r="D26" s="126" t="n">
        <x:v>46213.518055555556</x:v>
      </x:c>
      <x:c r="E26" s="127" t="str">
        <x:f>IF(F26="Sim",B27-B26,"")</x:f>
      </x:c>
      <x:c r="F26" s="128" t="str">
        <x:f>IF(D26&gt;B27,"Sim","Não")</x:f>
        <x:v>Não</x:v>
      </x:c>
      <x:c r="G26" s="145" t="str">
        <x:f>IF(F26="Sim","Término posterior ao início do atendimento seguinte","")</x:f>
      </x:c>
      <x:c r="H26" s="139" t="n">
        <x:f>IF(B27&gt;D26,B27-D26,0)</x:f>
        <x:v>0.0013888888861401938</x:v>
      </x:c>
    </x:row>
    <x:row r="27">
      <x:c r="A27" s="103" t="str">
        <x:v>Paciente 19</x:v>
      </x:c>
      <x:c r="B27" s="126" t="n">
        <x:v>46213.51944444444</x:v>
      </x:c>
      <x:c r="C27" s="127" t="n">
        <x:f>D27-B27</x:f>
        <x:v>0.008333333338669036</x:v>
      </x:c>
      <x:c r="D27" s="126" t="n">
        <x:v>46213.52777777778</x:v>
      </x:c>
      <x:c r="E27" s="127" t="str">
        <x:f>IF(F27="Sim",B28-B27,"")</x:f>
      </x:c>
      <x:c r="F27" s="128" t="str">
        <x:f>IF(D27&gt;B28,"Sim","Não")</x:f>
        <x:v>Não</x:v>
      </x:c>
      <x:c r="G27" s="145" t="str">
        <x:f>IF(F27="Sim","Término posterior ao início do atendimento seguinte","")</x:f>
      </x:c>
      <x:c r="H27" s="139" t="n">
        <x:f>IF(B28&gt;D27,B28-D27,0)</x:f>
        <x:v>0.0013888888861401938</x:v>
      </x:c>
    </x:row>
    <x:row r="28">
      <x:c r="A28" s="103" t="str">
        <x:v>Paciente 20</x:v>
      </x:c>
      <x:c r="B28" s="126" t="n">
        <x:v>46213.52916666667</x:v>
      </x:c>
      <x:c r="C28" s="127" t="n">
        <x:f>D28-B28</x:f>
        <x:v>0.0020833333328482695</x:v>
      </x:c>
      <x:c r="D28" s="126" t="n">
        <x:v>46213.53125</x:v>
      </x:c>
      <x:c r="E28" s="127" t="str">
        <x:f>IF(F28="Sim",B29-B28,"")</x:f>
      </x:c>
      <x:c r="F28" s="128" t="str">
        <x:f>IF(D28&gt;B29,"Sim","Não")</x:f>
        <x:v>Não</x:v>
      </x:c>
      <x:c r="G28" s="145" t="str">
        <x:f>IF(F28="Sim","Término posterior ao início do atendimento seguinte","")</x:f>
      </x:c>
      <x:c r="H28" s="139" t="n">
        <x:f>IF(B29&gt;D28,B29-D28,0)</x:f>
        <x:v>0.002777777779556345</x:v>
      </x:c>
    </x:row>
    <x:row r="29">
      <x:c r="A29" s="103" t="str">
        <x:v>Paciente 21</x:v>
      </x:c>
      <x:c r="B29" s="126" t="n">
        <x:v>46213.53402777778</x:v>
      </x:c>
      <x:c r="C29" s="127" t="n">
        <x:f>D29-B29</x:f>
        <x:v>0.0020833333328482695</x:v>
      </x:c>
      <x:c r="D29" s="126" t="n">
        <x:v>46213.53611111111</x:v>
      </x:c>
      <x:c r="E29" s="127" t="str">
        <x:f>IF(F29="Sim",B30-B29,"")</x:f>
      </x:c>
      <x:c r="F29" s="128" t="str">
        <x:f>IF(D29&gt;B30,"Sim","Não")</x:f>
        <x:v>Não</x:v>
      </x:c>
      <x:c r="G29" s="145" t="str">
        <x:f>IF(F29="Sim","Término posterior ao início do atendimento seguinte","")</x:f>
      </x:c>
      <x:c r="H29" s="139" t="n">
        <x:f>IF(B30&gt;D29,B30-D29,0)</x:f>
        <x:v>0.031944444446708076</x:v>
      </x:c>
    </x:row>
    <x:row r="30">
      <x:c r="A30" s="103" t="str">
        <x:v>Paciente 22</x:v>
      </x:c>
      <x:c r="B30" s="126" t="n">
        <x:v>46213.56805555556</x:v>
      </x:c>
      <x:c r="C30" s="127" t="n">
        <x:f>D30-B30</x:f>
        <x:v>0.0020833333328482695</x:v>
      </x:c>
      <x:c r="D30" s="126" t="n">
        <x:v>46213.57013888889</x:v>
      </x:c>
      <x:c r="E30" s="127" t="str">
        <x:f>IF(F30="Sim",B31-B30,"")</x:f>
      </x:c>
      <x:c r="F30" s="128" t="str">
        <x:f>IF(D30&gt;B31,"Sim","Não")</x:f>
        <x:v>Não</x:v>
      </x:c>
      <x:c r="G30" s="145" t="str">
        <x:f>IF(F30="Sim","Término posterior ao início do atendimento seguinte","")</x:f>
      </x:c>
      <x:c r="H30" s="139" t="n">
        <x:f>IF(B31&gt;D30,B31-D30,0)</x:f>
        <x:v>0</x:v>
      </x:c>
    </x:row>
    <x:row r="31">
      <x:c r="A31" s="103" t="str">
        <x:v>Paciente 23</x:v>
      </x:c>
      <x:c r="B31" s="126" t="n">
        <x:v>46213.57013888889</x:v>
      </x:c>
      <x:c r="C31" s="127" t="n">
        <x:f>D31-B31</x:f>
        <x:v>0.0013888888861401938</x:v>
      </x:c>
      <x:c r="D31" s="126" t="n">
        <x:v>46213.57152777778</x:v>
      </x:c>
      <x:c r="E31" s="127" t="str">
        <x:f>IF(F31="Sim",B32-B31,"")</x:f>
      </x:c>
      <x:c r="F31" s="128" t="str">
        <x:f>IF(D31&gt;B32,"Sim","Não")</x:f>
        <x:v>Não</x:v>
      </x:c>
      <x:c r="G31" s="145" t="str">
        <x:f>IF(F31="Sim","Término posterior ao início do atendimento seguinte","")</x:f>
      </x:c>
      <x:c r="H31" s="139" t="n">
        <x:f>IF(B32&gt;D31,B32-D31,0)</x:f>
        <x:v>0.004166666665696539</x:v>
      </x:c>
    </x:row>
    <x:row r="32">
      <x:c r="A32" s="103" t="str">
        <x:v>Paciente 24</x:v>
      </x:c>
      <x:c r="B32" s="126" t="n">
        <x:v>46213.575694444444</x:v>
      </x:c>
      <x:c r="C32" s="127" t="n">
        <x:f>D32-B32</x:f>
        <x:v>0.009027777778101154</x:v>
      </x:c>
      <x:c r="D32" s="126" t="n">
        <x:v>46213.58472222222</x:v>
      </x:c>
      <x:c r="E32" s="127" t="str">
        <x:f>IF(F32="Sim",B33-B32,"")</x:f>
      </x:c>
      <x:c r="F32" s="128" t="str">
        <x:f>IF(D32&gt;B33,"Sim","Não")</x:f>
        <x:v>Não</x:v>
      </x:c>
      <x:c r="G32" s="145" t="str">
        <x:f>IF(F32="Sim","Término posterior ao início do atendimento seguinte","")</x:f>
      </x:c>
      <x:c r="H32" s="139" t="n">
        <x:f>IF(B33&gt;D32,B33-D32,0)</x:f>
        <x:v>0.0013888888861401938</x:v>
      </x:c>
    </x:row>
    <x:row r="33">
      <x:c r="A33" s="103" t="str">
        <x:v>Paciente 25</x:v>
      </x:c>
      <x:c r="B33" s="126" t="n">
        <x:v>46213.58611111111</x:v>
      </x:c>
      <x:c r="C33" s="127" t="n">
        <x:f>D33-B33</x:f>
        <x:v>0.008333333338669036</x:v>
      </x:c>
      <x:c r="D33" s="126" t="n">
        <x:v>46213.59444444445</x:v>
      </x:c>
      <x:c r="E33" s="127" t="str">
        <x:f>IF(F33="Sim",B34-B33,"")</x:f>
      </x:c>
      <x:c r="F33" s="128" t="str">
        <x:f>IF(D33&gt;B34,"Sim","Não")</x:f>
        <x:v>Não</x:v>
      </x:c>
      <x:c r="G33" s="145" t="str">
        <x:f>IF(F33="Sim","Término posterior ao início do atendimento seguinte","")</x:f>
      </x:c>
      <x:c r="H33" s="139" t="n">
        <x:f>IF(B34&gt;D33,B34-D33,0)</x:f>
        <x:v>0.0020833333328482695</x:v>
      </x:c>
    </x:row>
    <x:row r="34">
      <x:c r="A34" s="103" t="str">
        <x:v>Paciente 26</x:v>
      </x:c>
      <x:c r="B34" s="126" t="n">
        <x:v>46213.59652777778</x:v>
      </x:c>
      <x:c r="C34" s="127" t="n">
        <x:f>D34-B34</x:f>
        <x:v>0.002777777779556345</x:v>
      </x:c>
      <x:c r="D34" s="126" t="n">
        <x:v>46213.59930555556</x:v>
      </x:c>
      <x:c r="E34" s="127" t="str">
        <x:f>IF(F34="Sim",B35-B34,"")</x:f>
      </x:c>
      <x:c r="F34" s="128" t="str">
        <x:f>IF(D34&gt;B35,"Sim","Não")</x:f>
        <x:v>Não</x:v>
      </x:c>
      <x:c r="G34" s="145" t="str">
        <x:f>IF(F34="Sim","Término posterior ao início do atendimento seguinte","")</x:f>
      </x:c>
      <x:c r="H34" s="139" t="n">
        <x:f>IF(B35&gt;D34,B35-D34,0)</x:f>
        <x:v>0.0034722222189884633</x:v>
      </x:c>
    </x:row>
    <x:row r="35">
      <x:c r="A35" s="103" t="str">
        <x:v>Paciente 27</x:v>
      </x:c>
      <x:c r="B35" s="126" t="n">
        <x:v>46213.60277777778</x:v>
      </x:c>
      <x:c r="C35" s="127" t="n">
        <x:f>D35-B35</x:f>
        <x:v>0.002777777779556345</x:v>
      </x:c>
      <x:c r="D35" s="126" t="n">
        <x:v>46213.60555555556</x:v>
      </x:c>
      <x:c r="E35" s="127" t="str">
        <x:f>IF(F35="Sim",B36-B35,"")</x:f>
      </x:c>
      <x:c r="F35" s="128" t="str">
        <x:f>IF(D35&gt;B36,"Sim","Não")</x:f>
        <x:v>Não</x:v>
      </x:c>
      <x:c r="G35" s="145" t="str">
        <x:f>IF(F35="Sim","Término posterior ao início do atendimento seguinte","")</x:f>
      </x:c>
      <x:c r="H35" s="139" t="n">
        <x:f>IF(B36&gt;D35,B36-D35,0)</x:f>
        <x:v>0</x:v>
      </x:c>
    </x:row>
    <x:row r="36">
      <x:c r="A36" s="103" t="str">
        <x:v>Paciente 28</x:v>
      </x:c>
      <x:c r="B36" s="126" t="n">
        <x:v>46213.60555555556</x:v>
      </x:c>
      <x:c r="C36" s="127" t="n">
        <x:f>D36-B36</x:f>
        <x:v>0.0027777777722803876</x:v>
      </x:c>
      <x:c r="D36" s="126" t="n">
        <x:v>46213.60833333333</x:v>
      </x:c>
      <x:c r="E36" s="127" t="str">
        <x:f>IF(F36="Sim",B37-B36,"")</x:f>
      </x:c>
      <x:c r="F36" s="128" t="str">
        <x:f>IF(D36&gt;B37,"Sim","Não")</x:f>
        <x:v>Não</x:v>
      </x:c>
      <x:c r="G36" s="145" t="str">
        <x:f>IF(F36="Sim","Término posterior ao início do atendimento seguinte","")</x:f>
      </x:c>
      <x:c r="H36" s="139" t="n">
        <x:f>IF(B37&gt;D36,B37-D36,0)</x:f>
        <x:v>0.00555555555911269</x:v>
      </x:c>
    </x:row>
    <x:row r="37">
      <x:c r="A37" s="103" t="str">
        <x:v>Paciente 29</x:v>
      </x:c>
      <x:c r="B37" s="126" t="n">
        <x:v>46213.61388888889</x:v>
      </x:c>
      <x:c r="C37" s="127" t="n">
        <x:f>D37-B37</x:f>
        <x:v>0.006944444445252884</x:v>
      </x:c>
      <x:c r="D37" s="126" t="n">
        <x:v>46213.620833333334</x:v>
      </x:c>
      <x:c r="E37" s="127" t="str">
        <x:f>IF(F37="Sim",B38-B37,"")</x:f>
      </x:c>
      <x:c r="F37" s="128" t="str">
        <x:f>IF(D37&gt;B38,"Sim","Não")</x:f>
        <x:v>Não</x:v>
      </x:c>
      <x:c r="G37" s="145" t="str">
        <x:f>IF(F37="Sim","Término posterior ao início do atendimento seguinte","")</x:f>
      </x:c>
      <x:c r="H37" s="139" t="n">
        <x:f>IF(B38&gt;D37,B38-D37,0)</x:f>
        <x:v>0.0006944444467080757</x:v>
      </x:c>
    </x:row>
    <x:row r="38">
      <x:c r="A38" s="103" t="str">
        <x:v>Paciente 30</x:v>
      </x:c>
      <x:c r="B38" s="126" t="n">
        <x:v>46213.62152777778</x:v>
      </x:c>
      <x:c r="C38" s="127" t="n">
        <x:f>D38-B38</x:f>
        <x:v>0.010416666664241347</x:v>
      </x:c>
      <x:c r="D38" s="126" t="n">
        <x:v>46213.631944444445</x:v>
      </x:c>
      <x:c r="E38" s="127" t="str">
        <x:f>IF(F38="Sim",B39-B38,"")</x:f>
      </x:c>
      <x:c r="F38" s="128" t="str">
        <x:f>IF(D38&gt;B39,"Sim","Não")</x:f>
        <x:v>Não</x:v>
      </x:c>
      <x:c r="G38" s="145" t="str">
        <x:f>IF(F38="Sim","Término posterior ao início do atendimento seguinte","")</x:f>
      </x:c>
      <x:c r="H38" s="139" t="n">
        <x:f>IF(B39&gt;D38,B39-D38,0)</x:f>
        <x:v>0.002777777779556345</x:v>
      </x:c>
    </x:row>
    <x:row r="39">
      <x:c r="A39" s="103" t="str">
        <x:v>Paciente 31</x:v>
      </x:c>
      <x:c r="B39" s="126" t="n">
        <x:v>46213.634722222225</x:v>
      </x:c>
      <x:c r="C39" s="127" t="n">
        <x:f>D39-B39</x:f>
        <x:v>0.004861111105128657</x:v>
      </x:c>
      <x:c r="D39" s="126" t="n">
        <x:v>46213.63958333333</x:v>
      </x:c>
      <x:c r="E39" s="127" t="str">
        <x:f>IF(F39="Sim",B40-B39,"")</x:f>
      </x:c>
      <x:c r="F39" s="128" t="str">
        <x:f>IF(D39&gt;B40,"Sim","Não")</x:f>
        <x:v>Não</x:v>
      </x:c>
      <x:c r="G39" s="145" t="str">
        <x:f>IF(F39="Sim","Término posterior ao início do atendimento seguinte","")</x:f>
      </x:c>
      <x:c r="H39" s="139" t="n">
        <x:f>IF(B40&gt;D39,B40-D39,0)</x:f>
        <x:v>0.002083333340124227</x:v>
      </x:c>
    </x:row>
    <x:row r="40">
      <x:c r="A40" s="103" t="str">
        <x:v>Paciente 32</x:v>
      </x:c>
      <x:c r="B40" s="126" t="n">
        <x:v>46213.64166666667</x:v>
      </x:c>
      <x:c r="C40" s="127" t="n">
        <x:f>D40-B40</x:f>
        <x:v>0.0027777777722803876</x:v>
      </x:c>
      <x:c r="D40" s="126" t="n">
        <x:v>46213.64444444444</x:v>
      </x:c>
      <x:c r="E40" s="127" t="str">
        <x:f>IF(F40="Sim",B41-B40,"")</x:f>
      </x:c>
      <x:c r="F40" s="128" t="str">
        <x:f>IF(D40&gt;B41,"Sim","Não")</x:f>
        <x:v>Não</x:v>
      </x:c>
      <x:c r="G40" s="145" t="str">
        <x:f>IF(F40="Sim","Término posterior ao início do atendimento seguinte","")</x:f>
      </x:c>
      <x:c r="H40" s="139" t="n">
        <x:f>IF(B41&gt;D40,B41-D40,0)</x:f>
        <x:v>0.004166666665696539</x:v>
      </x:c>
    </x:row>
    <x:row r="41">
      <x:c r="A41" s="103" t="str">
        <x:v>Paciente 33</x:v>
      </x:c>
      <x:c r="B41" s="126" t="n">
        <x:v>46213.64861111111</x:v>
      </x:c>
      <x:c r="C41" s="127" t="n">
        <x:f>D41-B41</x:f>
        <x:v>0.00555555555911269</x:v>
      </x:c>
      <x:c r="D41" s="126" t="n">
        <x:v>46213.65416666667</x:v>
      </x:c>
      <x:c r="E41" s="127" t="str">
        <x:f>IF(F41="Sim",B42-B41,"")</x:f>
      </x:c>
      <x:c r="F41" s="128" t="str">
        <x:f>IF(D41&gt;B42,"Sim","Não")</x:f>
        <x:v>Não</x:v>
      </x:c>
      <x:c r="G41" s="145" t="str">
        <x:f>IF(F41="Sim","Término posterior ao início do atendimento seguinte","")</x:f>
      </x:c>
      <x:c r="H41" s="139" t="n">
        <x:f>IF(B42&gt;D41,B42-D41,0)</x:f>
        <x:v>0.0006944444467080757</x:v>
      </x:c>
    </x:row>
    <x:row r="42">
      <x:c r="A42" s="103" t="str">
        <x:v>Paciente 34</x:v>
      </x:c>
      <x:c r="B42" s="126" t="n">
        <x:v>46213.654861111114</x:v>
      </x:c>
      <x:c r="C42" s="127" t="n">
        <x:f>D42-B42</x:f>
        <x:v>0.0034722222189884633</x:v>
      </x:c>
      <x:c r="D42" s="126" t="n">
        <x:v>46213.65833333333</x:v>
      </x:c>
      <x:c r="E42" s="127" t="str">
        <x:f>IF(F42="Sim",B43-B42,"")</x:f>
      </x:c>
      <x:c r="F42" s="128" t="str">
        <x:f>IF(D42&gt;B43,"Sim","Não")</x:f>
        <x:v>Não</x:v>
      </x:c>
      <x:c r="G42" s="145" t="str">
        <x:f>IF(F42="Sim","Término posterior ao início do atendimento seguinte","")</x:f>
      </x:c>
      <x:c r="H42" s="139" t="n">
        <x:f>IF(B43&gt;D42,B43-D42,0)</x:f>
        <x:v>0.00763888889196096</x:v>
      </x:c>
    </x:row>
    <x:row r="43">
      <x:c r="A43" s="103" t="str">
        <x:v>Paciente 35</x:v>
      </x:c>
      <x:c r="B43" s="126" t="n">
        <x:v>46213.665972222225</x:v>
      </x:c>
      <x:c r="C43" s="127" t="n">
        <x:f>D43-B43</x:f>
        <x:v>0.01388888888322981</x:v>
      </x:c>
      <x:c r="D43" s="126" t="n">
        <x:v>46213.67986111111</x:v>
      </x:c>
      <x:c r="E43" s="127" t="str">
        <x:f>IF(F43="Sim",B44-B43,"")</x:f>
      </x:c>
      <x:c r="F43" s="128" t="str">
        <x:f>IF(D43&gt;B44,"Sim","Não")</x:f>
        <x:v>Não</x:v>
      </x:c>
      <x:c r="G43" s="145" t="str">
        <x:f>IF(F43="Sim","Término posterior ao início do atendimento seguinte","")</x:f>
      </x:c>
      <x:c r="H43" s="139" t="n">
        <x:f>IF(B44&gt;D43,B44-D43,0)</x:f>
        <x:v>0.0006944444467080757</x:v>
      </x:c>
    </x:row>
    <x:row r="44">
      <x:c r="A44" s="103" t="str">
        <x:v>Paciente 36</x:v>
      </x:c>
      <x:c r="B44" s="126" t="n">
        <x:v>46213.680555555555</x:v>
      </x:c>
      <x:c r="C44" s="127" t="n">
        <x:f>D44-B44</x:f>
        <x:v>0.013194444443797693</x:v>
      </x:c>
      <x:c r="D44" s="126" t="n">
        <x:v>46213.69375</x:v>
      </x:c>
      <x:c r="E44" s="127" t="str">
        <x:f>IF(F44="Sim",B45-B44,"")</x:f>
      </x:c>
      <x:c r="F44" s="128" t="str">
        <x:f>IF(D44&gt;B45,"Sim","Não")</x:f>
        <x:v>Não</x:v>
      </x:c>
      <x:c r="G44" s="145" t="str">
        <x:f>IF(F44="Sim","Término posterior ao início do atendimento seguinte","")</x:f>
      </x:c>
      <x:c r="H44" s="139" t="n">
        <x:f>IF(B45&gt;D44,B45-D44,0)</x:f>
        <x:v>0</x:v>
      </x:c>
    </x:row>
    <x:row r="45">
      <x:c r="A45" s="103" t="str">
        <x:v>Paciente 37</x:v>
      </x:c>
      <x:c r="B45" s="126" t="n">
        <x:v>46213.69375</x:v>
      </x:c>
      <x:c r="C45" s="127" t="n">
        <x:f>D45-B45</x:f>
        <x:v>0.011111111110949423</x:v>
      </x:c>
      <x:c r="D45" s="126" t="n">
        <x:v>46213.70486111111</x:v>
      </x:c>
      <x:c r="E45" s="127" t="str">
        <x:f>IF(F45="Sim",B46-B45,"")</x:f>
      </x:c>
      <x:c r="F45" s="128" t="str">
        <x:f>IF(D45&gt;B46,"Sim","Não")</x:f>
        <x:v>Não</x:v>
      </x:c>
      <x:c r="G45" s="145" t="str">
        <x:f>IF(F45="Sim","Término posterior ao início do atendimento seguinte","")</x:f>
      </x:c>
      <x:c r="H45" s="139" t="n">
        <x:f>IF(B46&gt;D45,B46-D45,0)</x:f>
        <x:v>0.0006944444467080757</x:v>
      </x:c>
    </x:row>
    <x:row r="46">
      <x:c r="A46" s="103" t="str">
        <x:v>Paciente 38</x:v>
      </x:c>
      <x:c r="B46" s="126" t="n">
        <x:v>46213.705555555556</x:v>
      </x:c>
      <x:c r="C46" s="127" t="n">
        <x:f>D46-B46</x:f>
        <x:v>0.009027777778101154</x:v>
      </x:c>
      <x:c r="D46" s="126" t="n">
        <x:v>46213.714583333334</x:v>
      </x:c>
      <x:c r="E46" s="127" t="str">
        <x:f>IF(F46="Sim",B47-B46,"")</x:f>
      </x:c>
      <x:c r="F46" s="128" t="str">
        <x:f>IF(D46&gt;B47,"Sim","Não")</x:f>
        <x:v>Não</x:v>
      </x:c>
      <x:c r="G46" s="145" t="str">
        <x:f>IF(F46="Sim","Término posterior ao início do atendimento seguinte","")</x:f>
      </x:c>
      <x:c r="H46" s="139" t="n">
        <x:f>IF(B47&gt;D46,B47-D46,0)</x:f>
        <x:v>0</x:v>
      </x:c>
    </x:row>
    <x:row r="47">
      <x:c r="A47" s="103" t="str">
        <x:v>Paciente 39</x:v>
      </x:c>
      <x:c r="B47" s="126" t="n">
        <x:v>46213.714583333334</x:v>
      </x:c>
      <x:c r="C47" s="127" t="n">
        <x:f>D47-B47</x:f>
        <x:v>0.007638888884685002</x:v>
      </x:c>
      <x:c r="D47" s="126" t="n">
        <x:v>46213.72222222222</x:v>
      </x:c>
      <x:c r="E47" s="127" t="str">
        <x:f>IF(F47="Sim",B48-B47,"")</x:f>
      </x:c>
      <x:c r="F47" s="128" t="str">
        <x:f>IF(D47&gt;B48,"Sim","Não")</x:f>
        <x:v>Não</x:v>
      </x:c>
      <x:c r="G47" s="145" t="str">
        <x:f>IF(F47="Sim","Término posterior ao início do atendimento seguinte","")</x:f>
      </x:c>
      <x:c r="H47" s="139" t="n">
        <x:f>IF(B48&gt;D47,B48-D47,0)</x:f>
        <x:v>0.0006944444467080757</x:v>
      </x:c>
    </x:row>
    <x:row r="48">
      <x:c r="A48" s="103" t="str">
        <x:v>Paciente 40</x:v>
      </x:c>
      <x:c r="B48" s="126" t="n">
        <x:v>46213.722916666666</x:v>
      </x:c>
      <x:c r="C48" s="127" t="n">
        <x:f>D48-B48</x:f>
        <x:v>0.006944444445252884</x:v>
      </x:c>
      <x:c r="D48" s="126" t="n">
        <x:v>46213.72986111111</x:v>
      </x:c>
      <x:c r="E48" s="127" t="str">
        <x:f>IF(F48="Sim",B49-B48,"")</x:f>
      </x:c>
      <x:c r="F48" s="128" t="str">
        <x:f>IF(D48&gt;B49,"Sim","Não")</x:f>
        <x:v>Não</x:v>
      </x:c>
      <x:c r="G48" s="145" t="str">
        <x:f>IF(F48="Sim","Término posterior ao início do atendimento seguinte","")</x:f>
      </x:c>
      <x:c r="H48" s="139" t="n">
        <x:f>IF(B49&gt;D48,B49-D48,0)</x:f>
        <x:v>0</x:v>
      </x:c>
    </x:row>
    <x:row r="49">
      <x:c r="A49" s="103" t="str">
        <x:v>Paciente 41</x:v>
      </x:c>
      <x:c r="B49" s="126" t="n">
        <x:v>46213.72986111111</x:v>
      </x:c>
      <x:c r="C49" s="127" t="n">
        <x:f>D49-B49</x:f>
        <x:v>0.010416666664241347</x:v>
      </x:c>
      <x:c r="D49" s="126" t="n">
        <x:v>46213.740277777775</x:v>
      </x:c>
      <x:c r="E49" s="127" t="str">
        <x:f>IF(F49="Sim",B50-B49,"")</x:f>
      </x:c>
      <x:c r="F49" s="128" t="str">
        <x:f>IF(D49&gt;B50,"Sim","Não")</x:f>
        <x:v>Não</x:v>
      </x:c>
      <x:c r="G49" s="145" t="str">
        <x:f>IF(F49="Sim","Término posterior ao início do atendimento seguinte","")</x:f>
      </x:c>
      <x:c r="H49" s="139" t="n">
        <x:f>IF(B50&gt;D49,B50-D49,0)</x:f>
        <x:v>0.0006944444467080757</x:v>
      </x:c>
    </x:row>
    <x:row r="50">
      <x:c r="A50" s="103" t="str">
        <x:v>Paciente 42</x:v>
      </x:c>
      <x:c r="B50" s="126" t="n">
        <x:v>46213.74097222222</x:v>
      </x:c>
      <x:c r="C50" s="127" t="n">
        <x:f>D50-B50</x:f>
        <x:v>0.011111111110949423</x:v>
      </x:c>
      <x:c r="D50" s="126" t="n">
        <x:v>46213.75208333333</x:v>
      </x:c>
      <x:c r="E50" s="127" t="str">
        <x:f>IF(F50="Sim",B51-B50,"")</x:f>
      </x:c>
      <x:c r="F50" s="128" t="str">
        <x:f>IF(D50&gt;B51,"Sim","Não")</x:f>
        <x:v>Não</x:v>
      </x:c>
      <x:c r="G50" s="145" t="str">
        <x:f>IF(F50="Sim","Término posterior ao início do atendimento seguinte","")</x:f>
      </x:c>
      <x:c r="H50" s="139" t="n">
        <x:f>IF(B51&gt;D50,B51-D50,0)</x:f>
        <x:v>0.0006944444467080757</x:v>
      </x:c>
    </x:row>
    <x:row r="51">
      <x:c r="A51" s="103" t="str">
        <x:v>Paciente 43</x:v>
      </x:c>
      <x:c r="B51" s="126" t="n">
        <x:v>46213.75277777778</x:v>
      </x:c>
      <x:c r="C51" s="127" t="n">
        <x:f>D51-B51</x:f>
        <x:v>0.005555555551836733</x:v>
      </x:c>
      <x:c r="D51" s="126" t="n">
        <x:v>46213.75833333333</x:v>
      </x:c>
      <x:c r="E51" s="127" t="str">
        <x:f>IF(F51="Sim",B52-B51,"")</x:f>
      </x:c>
      <x:c r="F51" s="128" t="str">
        <x:f>IF(D51&gt;B52,"Sim","Não")</x:f>
        <x:v>Não</x:v>
      </x:c>
      <x:c r="G51" s="145" t="str">
        <x:f>IF(F51="Sim","Término posterior ao início do atendimento seguinte","")</x:f>
      </x:c>
      <x:c r="H51" s="139" t="n">
        <x:f>IF(B52&gt;D51,B52-D51,0)</x:f>
        <x:v>0.0013888888934161514</x:v>
      </x:c>
    </x:row>
    <x:row r="52">
      <x:c r="A52" s="106" t="str">
        <x:v>Paciente 44</x:v>
      </x:c>
      <x:c r="B52" s="129" t="n">
        <x:v>46213.759722222225</x:v>
      </x:c>
      <x:c r="C52" s="130" t="n">
        <x:f>D52-B52</x:f>
        <x:v>0.0062499999985448085</x:v>
      </x:c>
      <x:c r="D52" s="129" t="n">
        <x:v>46213.76597222222</x:v>
      </x:c>
      <x:c r="E52" s="130"/>
      <x:c r="F52" s="131" t="str">
        <x:v>Não</x:v>
      </x:c>
      <x:c r="G52" s="146" t="str"/>
      <x:c r="H52" s="140"/>
    </x:row>
  </x:sheetData>
  <x:mergeCells>
    <x:mergeCell ref="A1:H1"/>
    <x:mergeCell ref="B2:H2"/>
    <x:mergeCell ref="B3:H3"/>
    <x:mergeCell ref="B4:H4"/>
    <x:mergeCell ref="A6:H6"/>
  </x:mergeCells>
  <x:conditionalFormatting sqref="A9:H52">
    <x:cfRule type="expression" dxfId="5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4f89a9a22f49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51" t="str">
        <x:v>ANÁLISE DE ATENDIMENTOS - CARDIOLOGIA</x:v>
      </x:c>
      <x:c r="B1" s="51"/>
      <x:c r="C1" s="51"/>
      <x:c r="D1" s="51"/>
      <x:c r="E1" s="51"/>
      <x:c r="F1" s="51"/>
      <x:c r="G1" s="51"/>
      <x:c r="H1" s="51"/>
    </x:row>
    <x:row r="2">
      <x:c r="A2" s="57" t="str">
        <x:v>Médico</x:v>
      </x:c>
      <x:c r="B2" t="str">
        <x:v>Marcelo Flavio Gomes</x:v>
      </x:c>
    </x:row>
    <x:row r="3">
      <x:c r="A3" s="57" t="str">
        <x:v>Especialidade</x:v>
      </x:c>
      <x:c r="B3" t="str">
        <x:v>Cardiologia</x:v>
      </x:c>
    </x:row>
    <x:row r="4">
      <x:c r="A4" s="57" t="str">
        <x:v>Data</x:v>
      </x:c>
      <x:c r="B4" s="45" t="n">
        <x:v>46213</x:v>
      </x:c>
    </x:row>
    <x:row r="6" ht="38" customHeight="1">
      <x:c r="A6" s="63" t="str">
        <x:v>Nos casos de sobreposição, o tempo real é calculado pelo início do atendimento seguinte menos o início do atendimento atual.</x:v>
      </x:c>
      <x:c r="B6" s="63"/>
      <x:c r="C6" s="63"/>
      <x:c r="D6" s="63"/>
      <x:c r="E6" s="63"/>
      <x:c r="F6" s="63"/>
      <x:c r="G6" s="63"/>
      <x:c r="H6" s="63"/>
    </x:row>
    <x:row r="7" ht="42" customHeight="1">
      <x:c r="A7" s="76" t="n">
        <x:f>COUNTA(A9:A55)</x:f>
        <x:v>47</x:v>
      </x:c>
      <x:c r="B7" s="77" t="n">
        <x:f>AVERAGE(C9:C55)</x:f>
        <x:v>0.006870567376299345</x:v>
      </x:c>
      <x:c r="C7" s="77" t="n">
        <x:f>MAX(C9:C55)</x:f>
        <x:v>0.020833333335758653</x:v>
      </x:c>
      <x:c r="D7" s="76" t="n">
        <x:f>COUNTIF(F9:F55,"Sim")</x:f>
        <x:v>0</x:v>
      </x:c>
      <x:c r="E7" s="77" t="n">
        <x:f>MAX(H9:H55)</x:f>
        <x:v>0.014583333337213844</x:v>
      </x:c>
      <x:c r="F7" s="77" t="n">
        <x:f>SUM(C9:C55)</x:f>
        <x:v>0.3229166666860692</x:v>
      </x:c>
      <x:c r="G7" s="77" t="n">
        <x:f>SUM(E9:E55)</x:f>
        <x:v>0</x:v>
      </x:c>
      <x:c r="H7" s="76" t="n">
        <x:f>COUNT(E9:E55)</x:f>
        <x:v>0</x:v>
      </x:c>
    </x:row>
    <x:row r="8" ht="48" customHeight="1">
      <x:c r="A8" s="92" t="str">
        <x:v>Nome fila</x:v>
      </x:c>
      <x:c r="B8" s="92" t="str">
        <x:v>Início do atendimento</x:v>
      </x:c>
      <x:c r="C8" s="92" t="str">
        <x:v>Tempo de atendimento pelo sistema</x:v>
      </x:c>
      <x:c r="D8" s="92" t="str">
        <x:v>Término do atendimento</x:v>
      </x:c>
      <x:c r="E8" s="92" t="str">
        <x:v>Tempo de atendimento real</x:v>
      </x:c>
      <x:c r="F8" s="92" t="str">
        <x:v>Sobreposição identificada</x:v>
      </x:c>
      <x:c r="G8" s="92" t="str">
        <x:v>Observação</x:v>
      </x:c>
      <x:c r="H8" s="92" t="str">
        <x:v>Intervalo até o próximo atendimento</x:v>
      </x:c>
    </x:row>
    <x:row r="9">
      <x:c r="A9" s="98" t="str">
        <x:v>Paciente 1</x:v>
      </x:c>
      <x:c r="B9" s="123" t="n">
        <x:v>46213.35833333333</x:v>
      </x:c>
      <x:c r="C9" s="124" t="n">
        <x:f>D9-B9</x:f>
        <x:v>0.00555555555911269</x:v>
      </x:c>
      <x:c r="D9" s="123" t="n">
        <x:v>46213.36388888889</x:v>
      </x:c>
      <x:c r="E9" s="124" t="str">
        <x:f>IF(F9="Sim",B10-B9,"")</x:f>
      </x:c>
      <x:c r="F9" s="125" t="str">
        <x:f>IF(D9&gt;B10,"Sim","Não")</x:f>
        <x:v>Não</x:v>
      </x:c>
      <x:c r="G9" s="144" t="str">
        <x:f>IF(F9="Sim","Término posterior ao início do atendimento seguinte","")</x:f>
      </x:c>
      <x:c r="H9" s="138" t="n">
        <x:f>IF(B10&gt;D9,B10-D9,0)</x:f>
        <x:v>0.0020833333328482695</x:v>
      </x:c>
    </x:row>
    <x:row r="10">
      <x:c r="A10" s="103" t="str">
        <x:v>Paciente 2</x:v>
      </x:c>
      <x:c r="B10" s="126" t="n">
        <x:v>46213.36597222222</x:v>
      </x:c>
      <x:c r="C10" s="127" t="n">
        <x:f>D10-B10</x:f>
        <x:v>0.008333333331393078</x:v>
      </x:c>
      <x:c r="D10" s="126" t="n">
        <x:v>46213.37430555555</x:v>
      </x:c>
      <x:c r="E10" s="127" t="str">
        <x:f>IF(F10="Sim",B11-B10,"")</x:f>
      </x:c>
      <x:c r="F10" s="128" t="str">
        <x:f>IF(D10&gt;B11,"Sim","Não")</x:f>
        <x:v>Não</x:v>
      </x:c>
      <x:c r="G10" s="145" t="str">
        <x:f>IF(F10="Sim","Término posterior ao início do atendimento seguinte","")</x:f>
      </x:c>
      <x:c r="H10" s="139" t="n">
        <x:f>IF(B11&gt;D10,B11-D10,0)</x:f>
        <x:v>0.004861111112404615</x:v>
      </x:c>
    </x:row>
    <x:row r="11">
      <x:c r="A11" s="103" t="str">
        <x:v>Paciente 3</x:v>
      </x:c>
      <x:c r="B11" s="126" t="n">
        <x:v>46213.379166666666</x:v>
      </x:c>
      <x:c r="C11" s="127" t="n">
        <x:f>D11-B11</x:f>
        <x:v>0.00972222222480923</x:v>
      </x:c>
      <x:c r="D11" s="126" t="n">
        <x:v>46213.38888888889</x:v>
      </x:c>
      <x:c r="E11" s="127" t="str">
        <x:f>IF(F11="Sim",B12-B11,"")</x:f>
      </x:c>
      <x:c r="F11" s="128" t="str">
        <x:f>IF(D11&gt;B12,"Sim","Não")</x:f>
        <x:v>Não</x:v>
      </x:c>
      <x:c r="G11" s="145" t="str">
        <x:f>IF(F11="Sim","Término posterior ao início do atendimento seguinte","")</x:f>
      </x:c>
      <x:c r="H11" s="139" t="n">
        <x:f>IF(B12&gt;D11,B12-D11,0)</x:f>
        <x:v>0.0006944444394321181</x:v>
      </x:c>
    </x:row>
    <x:row r="12">
      <x:c r="A12" s="103" t="str">
        <x:v>Paciente 4</x:v>
      </x:c>
      <x:c r="B12" s="126" t="n">
        <x:v>46213.38958333333</x:v>
      </x:c>
      <x:c r="C12" s="127" t="n">
        <x:f>D12-B12</x:f>
        <x:v>0.004861111112404615</x:v>
      </x:c>
      <x:c r="D12" s="126" t="n">
        <x:v>46213.39444444444</x:v>
      </x:c>
      <x:c r="E12" s="127" t="str">
        <x:f>IF(F12="Sim",B13-B12,"")</x:f>
      </x:c>
      <x:c r="F12" s="128" t="str">
        <x:f>IF(D12&gt;B13,"Sim","Não")</x:f>
        <x:v>Não</x:v>
      </x:c>
      <x:c r="G12" s="145" t="str">
        <x:f>IF(F12="Sim","Término posterior ao início do atendimento seguinte","")</x:f>
      </x:c>
      <x:c r="H12" s="139" t="n">
        <x:f>IF(B13&gt;D12,B13-D12,0)</x:f>
        <x:v>0.004166666665696539</x:v>
      </x:c>
    </x:row>
    <x:row r="13">
      <x:c r="A13" s="103" t="str">
        <x:v>Paciente 5</x:v>
      </x:c>
      <x:c r="B13" s="126" t="n">
        <x:v>46213.39861111111</x:v>
      </x:c>
      <x:c r="C13" s="127" t="n">
        <x:f>D13-B13</x:f>
        <x:v>0.00555555555911269</x:v>
      </x:c>
      <x:c r="D13" s="126" t="n">
        <x:v>46213.40416666667</x:v>
      </x:c>
      <x:c r="E13" s="127" t="str">
        <x:f>IF(F13="Sim",B14-B13,"")</x:f>
      </x:c>
      <x:c r="F13" s="128" t="str">
        <x:f>IF(D13&gt;B14,"Sim","Não")</x:f>
        <x:v>Não</x:v>
      </x:c>
      <x:c r="G13" s="145" t="str">
        <x:f>IF(F13="Sim","Término posterior ao início do atendimento seguinte","")</x:f>
      </x:c>
      <x:c r="H13" s="139" t="n">
        <x:f>IF(B14&gt;D13,B14-D13,0)</x:f>
        <x:v>0.00972222222480923</x:v>
      </x:c>
    </x:row>
    <x:row r="14">
      <x:c r="A14" s="103" t="str">
        <x:v>Paciente 6</x:v>
      </x:c>
      <x:c r="B14" s="126" t="n">
        <x:v>46213.41388888889</x:v>
      </x:c>
      <x:c r="C14" s="127" t="n">
        <x:f>D14-B14</x:f>
        <x:v>0.009027777778101154</x:v>
      </x:c>
      <x:c r="D14" s="126" t="n">
        <x:v>46213.42291666667</x:v>
      </x:c>
      <x:c r="E14" s="127" t="str">
        <x:f>IF(F14="Sim",B15-B14,"")</x:f>
      </x:c>
      <x:c r="F14" s="128" t="str">
        <x:f>IF(D14&gt;B15,"Sim","Não")</x:f>
        <x:v>Não</x:v>
      </x:c>
      <x:c r="G14" s="145" t="str">
        <x:f>IF(F14="Sim","Término posterior ao início do atendimento seguinte","")</x:f>
      </x:c>
      <x:c r="H14" s="139" t="n">
        <x:f>IF(B15&gt;D14,B15-D14,0)</x:f>
        <x:v>0.0006944444394321181</x:v>
      </x:c>
    </x:row>
    <x:row r="15">
      <x:c r="A15" s="103" t="str">
        <x:v>Paciente 7</x:v>
      </x:c>
      <x:c r="B15" s="126" t="n">
        <x:v>46213.42361111111</x:v>
      </x:c>
      <x:c r="C15" s="127" t="n">
        <x:f>D15-B15</x:f>
        <x:v>0.006944444445252884</x:v>
      </x:c>
      <x:c r="D15" s="126" t="n">
        <x:v>46213.430555555555</x:v>
      </x:c>
      <x:c r="E15" s="127" t="str">
        <x:f>IF(F15="Sim",B16-B15,"")</x:f>
      </x:c>
      <x:c r="F15" s="128" t="str">
        <x:f>IF(D15&gt;B16,"Sim","Não")</x:f>
        <x:v>Não</x:v>
      </x:c>
      <x:c r="G15" s="145" t="str">
        <x:f>IF(F15="Sim","Término posterior ao início do atendimento seguinte","")</x:f>
      </x:c>
      <x:c r="H15" s="139" t="n">
        <x:f>IF(B16&gt;D15,B16-D15,0)</x:f>
        <x:v>0.0006944444467080757</x:v>
      </x:c>
    </x:row>
    <x:row r="16">
      <x:c r="A16" s="103" t="str">
        <x:v>Paciente 8</x:v>
      </x:c>
      <x:c r="B16" s="126" t="n">
        <x:v>46213.43125</x:v>
      </x:c>
      <x:c r="C16" s="127" t="n">
        <x:f>D16-B16</x:f>
        <x:v>0.013888888890505768</x:v>
      </x:c>
      <x:c r="D16" s="126" t="n">
        <x:v>46213.44513888889</x:v>
      </x:c>
      <x:c r="E16" s="127" t="str">
        <x:f>IF(F16="Sim",B17-B16,"")</x:f>
      </x:c>
      <x:c r="F16" s="128" t="str">
        <x:f>IF(D16&gt;B17,"Sim","Não")</x:f>
        <x:v>Não</x:v>
      </x:c>
      <x:c r="G16" s="145" t="str">
        <x:f>IF(F16="Sim","Término posterior ao início do atendimento seguinte","")</x:f>
      </x:c>
      <x:c r="H16" s="139" t="n">
        <x:f>IF(B17&gt;D16,B17-D16,0)</x:f>
        <x:v>0.0013888888861401938</x:v>
      </x:c>
    </x:row>
    <x:row r="17">
      <x:c r="A17" s="103" t="str">
        <x:v>Paciente 9</x:v>
      </x:c>
      <x:c r="B17" s="126" t="n">
        <x:v>46213.44652777778</x:v>
      </x:c>
      <x:c r="C17" s="127" t="n">
        <x:f>D17-B17</x:f>
        <x:v>0.004166666665696539</x:v>
      </x:c>
      <x:c r="D17" s="126" t="n">
        <x:v>46213.450694444444</x:v>
      </x:c>
      <x:c r="E17" s="127" t="str">
        <x:f>IF(F17="Sim",B18-B17,"")</x:f>
      </x:c>
      <x:c r="F17" s="128" t="str">
        <x:f>IF(D17&gt;B18,"Sim","Não")</x:f>
        <x:v>Não</x:v>
      </x:c>
      <x:c r="G17" s="145" t="str">
        <x:f>IF(F17="Sim","Término posterior ao início do atendimento seguinte","")</x:f>
      </x:c>
      <x:c r="H17" s="139" t="n">
        <x:f>IF(B18&gt;D17,B18-D17,0)</x:f>
        <x:v>0.0020833333328482695</x:v>
      </x:c>
    </x:row>
    <x:row r="18">
      <x:c r="A18" s="103" t="str">
        <x:v>Paciente 10</x:v>
      </x:c>
      <x:c r="B18" s="126" t="n">
        <x:v>46213.45277777778</x:v>
      </x:c>
      <x:c r="C18" s="127" t="n">
        <x:f>D18-B18</x:f>
        <x:v>0.004166666665696539</x:v>
      </x:c>
      <x:c r="D18" s="126" t="n">
        <x:v>46213.45694444444</x:v>
      </x:c>
      <x:c r="E18" s="127" t="str">
        <x:f>IF(F18="Sim",B19-B18,"")</x:f>
      </x:c>
      <x:c r="F18" s="128" t="str">
        <x:f>IF(D18&gt;B19,"Sim","Não")</x:f>
        <x:v>Não</x:v>
      </x:c>
      <x:c r="G18" s="145" t="str">
        <x:f>IF(F18="Sim","Término posterior ao início do atendimento seguinte","")</x:f>
      </x:c>
      <x:c r="H18" s="139" t="n">
        <x:f>IF(B19&gt;D18,B19-D18,0)</x:f>
        <x:v>0</x:v>
      </x:c>
    </x:row>
    <x:row r="19">
      <x:c r="A19" s="103" t="str">
        <x:v>Paciente 11</x:v>
      </x:c>
      <x:c r="B19" s="126" t="n">
        <x:v>46213.45694444444</x:v>
      </x:c>
      <x:c r="C19" s="127" t="n">
        <x:f>D19-B19</x:f>
        <x:v>0.004166666665696539</x:v>
      </x:c>
      <x:c r="D19" s="126" t="n">
        <x:v>46213.46111111111</x:v>
      </x:c>
      <x:c r="E19" s="127" t="str">
        <x:f>IF(F19="Sim",B20-B19,"")</x:f>
      </x:c>
      <x:c r="F19" s="128" t="str">
        <x:f>IF(D19&gt;B20,"Sim","Não")</x:f>
        <x:v>Não</x:v>
      </x:c>
      <x:c r="G19" s="145" t="str">
        <x:f>IF(F19="Sim","Término posterior ao início do atendimento seguinte","")</x:f>
      </x:c>
      <x:c r="H19" s="139" t="n">
        <x:f>IF(B20&gt;D19,B20-D19,0)</x:f>
        <x:v>0.013888888890505768</x:v>
      </x:c>
    </x:row>
    <x:row r="20">
      <x:c r="A20" s="103" t="str">
        <x:v>Paciente 12</x:v>
      </x:c>
      <x:c r="B20" s="126" t="n">
        <x:v>46213.475</x:v>
      </x:c>
      <x:c r="C20" s="127" t="n">
        <x:f>D20-B20</x:f>
        <x:v>0.006944444445252884</x:v>
      </x:c>
      <x:c r="D20" s="126" t="n">
        <x:v>46213.481944444444</x:v>
      </x:c>
      <x:c r="E20" s="127" t="str">
        <x:f>IF(F20="Sim",B21-B20,"")</x:f>
      </x:c>
      <x:c r="F20" s="128" t="str">
        <x:f>IF(D20&gt;B21,"Sim","Não")</x:f>
        <x:v>Não</x:v>
      </x:c>
      <x:c r="G20" s="145" t="str">
        <x:f>IF(F20="Sim","Término posterior ao início do atendimento seguinte","")</x:f>
      </x:c>
      <x:c r="H20" s="139" t="n">
        <x:f>IF(B21&gt;D20,B21-D20,0)</x:f>
        <x:v>0.0006944444467080757</x:v>
      </x:c>
    </x:row>
    <x:row r="21">
      <x:c r="A21" s="103" t="str">
        <x:v>Paciente 13</x:v>
      </x:c>
      <x:c r="B21" s="126" t="n">
        <x:v>46213.48263888889</x:v>
      </x:c>
      <x:c r="C21" s="127" t="n">
        <x:f>D21-B21</x:f>
        <x:v>0.009027777778101154</x:v>
      </x:c>
      <x:c r="D21" s="126" t="n">
        <x:v>46213.49166666667</x:v>
      </x:c>
      <x:c r="E21" s="127" t="str">
        <x:f>IF(F21="Sim",B22-B21,"")</x:f>
      </x:c>
      <x:c r="F21" s="128" t="str">
        <x:f>IF(D21&gt;B22,"Sim","Não")</x:f>
        <x:v>Não</x:v>
      </x:c>
      <x:c r="G21" s="145" t="str">
        <x:f>IF(F21="Sim","Término posterior ao início do atendimento seguinte","")</x:f>
      </x:c>
      <x:c r="H21" s="139" t="n">
        <x:f>IF(B22&gt;D21,B22-D21,0)</x:f>
        <x:v>0.0027777777722803876</x:v>
      </x:c>
    </x:row>
    <x:row r="22">
      <x:c r="A22" s="103" t="str">
        <x:v>Paciente 14</x:v>
      </x:c>
      <x:c r="B22" s="126" t="n">
        <x:v>46213.49444444444</x:v>
      </x:c>
      <x:c r="C22" s="127" t="n">
        <x:f>D22-B22</x:f>
        <x:v>0.006944444445252884</x:v>
      </x:c>
      <x:c r="D22" s="126" t="n">
        <x:v>46213.501388888886</x:v>
      </x:c>
      <x:c r="E22" s="127" t="str">
        <x:f>IF(F22="Sim",B23-B22,"")</x:f>
      </x:c>
      <x:c r="F22" s="128" t="str">
        <x:f>IF(D22&gt;B23,"Sim","Não")</x:f>
        <x:v>Não</x:v>
      </x:c>
      <x:c r="G22" s="145" t="str">
        <x:f>IF(F22="Sim","Término posterior ao início do atendimento seguinte","")</x:f>
      </x:c>
      <x:c r="H22" s="139" t="n">
        <x:f>IF(B23&gt;D22,B23-D22,0)</x:f>
        <x:v>0.0013888888934161514</x:v>
      </x:c>
    </x:row>
    <x:row r="23">
      <x:c r="A23" s="103" t="str">
        <x:v>Paciente 15</x:v>
      </x:c>
      <x:c r="B23" s="126" t="n">
        <x:v>46213.50277777778</x:v>
      </x:c>
      <x:c r="C23" s="127" t="n">
        <x:f>D23-B23</x:f>
        <x:v>0.0013888888861401938</x:v>
      </x:c>
      <x:c r="D23" s="126" t="n">
        <x:v>46213.504166666666</x:v>
      </x:c>
      <x:c r="E23" s="127" t="str">
        <x:f>IF(F23="Sim",B24-B23,"")</x:f>
      </x:c>
      <x:c r="F23" s="128" t="str">
        <x:f>IF(D23&gt;B24,"Sim","Não")</x:f>
        <x:v>Não</x:v>
      </x:c>
      <x:c r="G23" s="145" t="str">
        <x:f>IF(F23="Sim","Término posterior ao início do atendimento seguinte","")</x:f>
      </x:c>
      <x:c r="H23" s="139" t="n">
        <x:f>IF(B24&gt;D23,B24-D23,0)</x:f>
        <x:v>0.014583333337213844</x:v>
      </x:c>
    </x:row>
    <x:row r="24">
      <x:c r="A24" s="103" t="str">
        <x:v>Paciente 16</x:v>
      </x:c>
      <x:c r="B24" s="126" t="n">
        <x:v>46213.51875</x:v>
      </x:c>
      <x:c r="C24" s="127" t="n">
        <x:f>D24-B24</x:f>
        <x:v>0.0034722222189884633</x:v>
      </x:c>
      <x:c r="D24" s="126" t="n">
        <x:v>46213.52222222222</x:v>
      </x:c>
      <x:c r="E24" s="127" t="str">
        <x:f>IF(F24="Sim",B25-B24,"")</x:f>
      </x:c>
      <x:c r="F24" s="128" t="str">
        <x:f>IF(D24&gt;B25,"Sim","Não")</x:f>
        <x:v>Não</x:v>
      </x:c>
      <x:c r="G24" s="145" t="str">
        <x:f>IF(F24="Sim","Término posterior ao início do atendimento seguinte","")</x:f>
      </x:c>
      <x:c r="H24" s="139" t="n">
        <x:f>IF(B25&gt;D24,B25-D24,0)</x:f>
        <x:v>0.0020833333328482695</x:v>
      </x:c>
    </x:row>
    <x:row r="25">
      <x:c r="A25" s="103" t="str">
        <x:v>Paciente 17</x:v>
      </x:c>
      <x:c r="B25" s="126" t="n">
        <x:v>46213.524305555555</x:v>
      </x:c>
      <x:c r="C25" s="127" t="n">
        <x:f>D25-B25</x:f>
        <x:v>0.010416666664241347</x:v>
      </x:c>
      <x:c r="D25" s="126" t="n">
        <x:v>46213.53472222222</x:v>
      </x:c>
      <x:c r="E25" s="127" t="str">
        <x:f>IF(F25="Sim",B26-B25,"")</x:f>
      </x:c>
      <x:c r="F25" s="128" t="str">
        <x:f>IF(D25&gt;B26,"Sim","Não")</x:f>
        <x:v>Não</x:v>
      </x:c>
      <x:c r="G25" s="145" t="str">
        <x:f>IF(F25="Sim","Término posterior ao início do atendimento seguinte","")</x:f>
      </x:c>
      <x:c r="H25" s="139" t="n">
        <x:f>IF(B26&gt;D25,B26-D25,0)</x:f>
        <x:v>0.0006944444467080757</x:v>
      </x:c>
    </x:row>
    <x:row r="26">
      <x:c r="A26" s="103" t="str">
        <x:v>Paciente 18</x:v>
      </x:c>
      <x:c r="B26" s="126" t="n">
        <x:v>46213.535416666666</x:v>
      </x:c>
      <x:c r="C26" s="127" t="n">
        <x:f>D26-B26</x:f>
        <x:v>0.018750000002910383</x:v>
      </x:c>
      <x:c r="D26" s="126" t="n">
        <x:v>46213.55416666667</x:v>
      </x:c>
      <x:c r="E26" s="127" t="str">
        <x:f>IF(F26="Sim",B27-B26,"")</x:f>
      </x:c>
      <x:c r="F26" s="128" t="str">
        <x:f>IF(D26&gt;B27,"Sim","Não")</x:f>
        <x:v>Não</x:v>
      </x:c>
      <x:c r="G26" s="145" t="str">
        <x:f>IF(F26="Sim","Término posterior ao início do atendimento seguinte","")</x:f>
      </x:c>
      <x:c r="H26" s="139" t="n">
        <x:f>IF(B27&gt;D26,B27-D26,0)</x:f>
        <x:v>0</x:v>
      </x:c>
    </x:row>
    <x:row r="27">
      <x:c r="A27" s="103" t="str">
        <x:v>Paciente 19</x:v>
      </x:c>
      <x:c r="B27" s="126" t="n">
        <x:v>46213.55416666667</x:v>
      </x:c>
      <x:c r="C27" s="127" t="n">
        <x:f>D27-B27</x:f>
        <x:v>0.0062499999985448085</x:v>
      </x:c>
      <x:c r="D27" s="126" t="n">
        <x:v>46213.56041666667</x:v>
      </x:c>
      <x:c r="E27" s="127" t="str">
        <x:f>IF(F27="Sim",B28-B27,"")</x:f>
      </x:c>
      <x:c r="F27" s="128" t="str">
        <x:f>IF(D27&gt;B28,"Sim","Não")</x:f>
        <x:v>Não</x:v>
      </x:c>
      <x:c r="G27" s="145" t="str">
        <x:f>IF(F27="Sim","Término posterior ao início do atendimento seguinte","")</x:f>
      </x:c>
      <x:c r="H27" s="139" t="n">
        <x:f>IF(B28&gt;D27,B28-D27,0)</x:f>
        <x:v>0.0006944444467080757</x:v>
      </x:c>
    </x:row>
    <x:row r="28">
      <x:c r="A28" s="103" t="str">
        <x:v>Paciente 20</x:v>
      </x:c>
      <x:c r="B28" s="126" t="n">
        <x:v>46213.561111111114</x:v>
      </x:c>
      <x:c r="C28" s="127" t="n">
        <x:f>D28-B28</x:f>
        <x:v>0.005555555551836733</x:v>
      </x:c>
      <x:c r="D28" s="126" t="n">
        <x:v>46213.566666666666</x:v>
      </x:c>
      <x:c r="E28" s="127" t="str">
        <x:f>IF(F28="Sim",B29-B28,"")</x:f>
      </x:c>
      <x:c r="F28" s="128" t="str">
        <x:f>IF(D28&gt;B29,"Sim","Não")</x:f>
        <x:v>Não</x:v>
      </x:c>
      <x:c r="G28" s="145" t="str">
        <x:f>IF(F28="Sim","Término posterior ao início do atendimento seguinte","")</x:f>
      </x:c>
      <x:c r="H28" s="139" t="n">
        <x:f>IF(B29&gt;D28,B29-D28,0)</x:f>
        <x:v>0</x:v>
      </x:c>
    </x:row>
    <x:row r="29">
      <x:c r="A29" s="103" t="str">
        <x:v>Paciente 21</x:v>
      </x:c>
      <x:c r="B29" s="126" t="n">
        <x:v>46213.566666666666</x:v>
      </x:c>
      <x:c r="C29" s="127" t="n">
        <x:f>D29-B29</x:f>
        <x:v>0.006944444445252884</x:v>
      </x:c>
      <x:c r="D29" s="126" t="n">
        <x:v>46213.57361111111</x:v>
      </x:c>
      <x:c r="E29" s="127" t="str">
        <x:f>IF(F29="Sim",B30-B29,"")</x:f>
      </x:c>
      <x:c r="F29" s="128" t="str">
        <x:f>IF(D29&gt;B30,"Sim","Não")</x:f>
        <x:v>Não</x:v>
      </x:c>
      <x:c r="G29" s="145" t="str">
        <x:f>IF(F29="Sim","Término posterior ao início do atendimento seguinte","")</x:f>
      </x:c>
      <x:c r="H29" s="139" t="n">
        <x:f>IF(B30&gt;D29,B30-D29,0)</x:f>
        <x:v>0.006944444445252884</x:v>
      </x:c>
    </x:row>
    <x:row r="30">
      <x:c r="A30" s="103" t="str">
        <x:v>Paciente 22</x:v>
      </x:c>
      <x:c r="B30" s="126" t="n">
        <x:v>46213.580555555556</x:v>
      </x:c>
      <x:c r="C30" s="127" t="n">
        <x:f>D30-B30</x:f>
        <x:v>0.004861111112404615</x:v>
      </x:c>
      <x:c r="D30" s="126" t="n">
        <x:v>46213.58541666667</x:v>
      </x:c>
      <x:c r="E30" s="127" t="str">
        <x:f>IF(F30="Sim",B31-B30,"")</x:f>
      </x:c>
      <x:c r="F30" s="128" t="str">
        <x:f>IF(D30&gt;B31,"Sim","Não")</x:f>
        <x:v>Não</x:v>
      </x:c>
      <x:c r="G30" s="145" t="str">
        <x:f>IF(F30="Sim","Término posterior ao início do atendimento seguinte","")</x:f>
      </x:c>
      <x:c r="H30" s="139" t="n">
        <x:f>IF(B31&gt;D30,B31-D30,0)</x:f>
        <x:v>0.0006944444394321181</x:v>
      </x:c>
    </x:row>
    <x:row r="31">
      <x:c r="A31" s="103" t="str">
        <x:v>Paciente 23</x:v>
      </x:c>
      <x:c r="B31" s="126" t="n">
        <x:v>46213.58611111111</x:v>
      </x:c>
      <x:c r="C31" s="127" t="n">
        <x:f>D31-B31</x:f>
        <x:v>0.00555555555911269</x:v>
      </x:c>
      <x:c r="D31" s="126" t="n">
        <x:v>46213.59166666667</x:v>
      </x:c>
      <x:c r="E31" s="127" t="str">
        <x:f>IF(F31="Sim",B32-B31,"")</x:f>
      </x:c>
      <x:c r="F31" s="128" t="str">
        <x:f>IF(D31&gt;B32,"Sim","Não")</x:f>
        <x:v>Não</x:v>
      </x:c>
      <x:c r="G31" s="145" t="str">
        <x:f>IF(F31="Sim","Término posterior ao início do atendimento seguinte","")</x:f>
      </x:c>
      <x:c r="H31" s="139" t="n">
        <x:f>IF(B32&gt;D31,B32-D31,0)</x:f>
        <x:v>0.0006944444467080757</x:v>
      </x:c>
    </x:row>
    <x:row r="32">
      <x:c r="A32" s="103" t="str">
        <x:v>Paciente 24</x:v>
      </x:c>
      <x:c r="B32" s="126" t="n">
        <x:v>46213.592361111114</x:v>
      </x:c>
      <x:c r="C32" s="127" t="n">
        <x:f>D32-B32</x:f>
        <x:v>0.008333333331393078</x:v>
      </x:c>
      <x:c r="D32" s="126" t="n">
        <x:v>46213.600694444445</x:v>
      </x:c>
      <x:c r="E32" s="127" t="str">
        <x:f>IF(F32="Sim",B33-B32,"")</x:f>
      </x:c>
      <x:c r="F32" s="128" t="str">
        <x:f>IF(D32&gt;B33,"Sim","Não")</x:f>
        <x:v>Não</x:v>
      </x:c>
      <x:c r="G32" s="145" t="str">
        <x:f>IF(F32="Sim","Término posterior ao início do atendimento seguinte","")</x:f>
      </x:c>
      <x:c r="H32" s="139" t="n">
        <x:f>IF(B33&gt;D32,B33-D32,0)</x:f>
        <x:v>0.0006944444467080757</x:v>
      </x:c>
    </x:row>
    <x:row r="33">
      <x:c r="A33" s="103" t="str">
        <x:v>Paciente 25</x:v>
      </x:c>
      <x:c r="B33" s="126" t="n">
        <x:v>46213.60138888889</x:v>
      </x:c>
      <x:c r="C33" s="127" t="n">
        <x:f>D33-B33</x:f>
        <x:v>0.0034722222189884633</x:v>
      </x:c>
      <x:c r="D33" s="126" t="n">
        <x:v>46213.60486111111</x:v>
      </x:c>
      <x:c r="E33" s="127" t="str">
        <x:f>IF(F33="Sim",B34-B33,"")</x:f>
      </x:c>
      <x:c r="F33" s="128" t="str">
        <x:f>IF(D33&gt;B34,"Sim","Não")</x:f>
        <x:v>Não</x:v>
      </x:c>
      <x:c r="G33" s="145" t="str">
        <x:f>IF(F33="Sim","Término posterior ao início do atendimento seguinte","")</x:f>
      </x:c>
      <x:c r="H33" s="139" t="n">
        <x:f>IF(B34&gt;D33,B34-D33,0)</x:f>
        <x:v>0.00972222222480923</x:v>
      </x:c>
    </x:row>
    <x:row r="34">
      <x:c r="A34" s="103" t="str">
        <x:v>Paciente 26</x:v>
      </x:c>
      <x:c r="B34" s="126" t="n">
        <x:v>46213.614583333336</x:v>
      </x:c>
      <x:c r="C34" s="127" t="n">
        <x:f>D34-B34</x:f>
        <x:v>0.006944444445252884</x:v>
      </x:c>
      <x:c r="D34" s="126" t="n">
        <x:v>46213.62152777778</x:v>
      </x:c>
      <x:c r="E34" s="127" t="str">
        <x:f>IF(F34="Sim",B35-B34,"")</x:f>
      </x:c>
      <x:c r="F34" s="128" t="str">
        <x:f>IF(D34&gt;B35,"Sim","Não")</x:f>
        <x:v>Não</x:v>
      </x:c>
      <x:c r="G34" s="145" t="str">
        <x:f>IF(F34="Sim","Término posterior ao início do atendimento seguinte","")</x:f>
      </x:c>
      <x:c r="H34" s="139" t="n">
        <x:f>IF(B35&gt;D34,B35-D34,0)</x:f>
        <x:v>0.0006944444394321181</x:v>
      </x:c>
    </x:row>
    <x:row r="35">
      <x:c r="A35" s="103" t="str">
        <x:v>Paciente 27</x:v>
      </x:c>
      <x:c r="B35" s="126" t="n">
        <x:v>46213.62222222222</x:v>
      </x:c>
      <x:c r="C35" s="127" t="n">
        <x:f>D35-B35</x:f>
        <x:v>0.004861111112404615</x:v>
      </x:c>
      <x:c r="D35" s="126" t="n">
        <x:v>46213.62708333333</x:v>
      </x:c>
      <x:c r="E35" s="127" t="str">
        <x:f>IF(F35="Sim",B36-B35,"")</x:f>
      </x:c>
      <x:c r="F35" s="128" t="str">
        <x:f>IF(D35&gt;B36,"Sim","Não")</x:f>
        <x:v>Não</x:v>
      </x:c>
      <x:c r="G35" s="145" t="str">
        <x:f>IF(F35="Sim","Término posterior ao início do atendimento seguinte","")</x:f>
      </x:c>
      <x:c r="H35" s="139" t="n">
        <x:f>IF(B36&gt;D35,B36-D35,0)</x:f>
        <x:v>0.0013888888861401938</x:v>
      </x:c>
    </x:row>
    <x:row r="36">
      <x:c r="A36" s="103" t="str">
        <x:v>Paciente 28</x:v>
      </x:c>
      <x:c r="B36" s="126" t="n">
        <x:v>46213.62847222222</x:v>
      </x:c>
      <x:c r="C36" s="127" t="n">
        <x:f>D36-B36</x:f>
        <x:v>0.004166666672972497</x:v>
      </x:c>
      <x:c r="D36" s="126" t="n">
        <x:v>46213.63263888889</x:v>
      </x:c>
      <x:c r="E36" s="127" t="str">
        <x:f>IF(F36="Sim",B37-B36,"")</x:f>
      </x:c>
      <x:c r="F36" s="128" t="str">
        <x:f>IF(D36&gt;B37,"Sim","Não")</x:f>
        <x:v>Não</x:v>
      </x:c>
      <x:c r="G36" s="145" t="str">
        <x:f>IF(F36="Sim","Término posterior ao início do atendimento seguinte","")</x:f>
      </x:c>
      <x:c r="H36" s="139" t="n">
        <x:f>IF(B37&gt;D36,B37-D36,0)</x:f>
        <x:v>0.004861111105128657</x:v>
      </x:c>
    </x:row>
    <x:row r="37">
      <x:c r="A37" s="103" t="str">
        <x:v>Paciente 29</x:v>
      </x:c>
      <x:c r="B37" s="126" t="n">
        <x:v>46213.6375</x:v>
      </x:c>
      <x:c r="C37" s="127" t="n">
        <x:f>D37-B37</x:f>
        <x:v>0.018055555556202307</x:v>
      </x:c>
      <x:c r="D37" s="126" t="n">
        <x:v>46213.65555555555</x:v>
      </x:c>
      <x:c r="E37" s="127" t="str">
        <x:f>IF(F37="Sim",B38-B37,"")</x:f>
      </x:c>
      <x:c r="F37" s="128" t="str">
        <x:f>IF(D37&gt;B38,"Sim","Não")</x:f>
        <x:v>Não</x:v>
      </x:c>
      <x:c r="G37" s="145" t="str">
        <x:f>IF(F37="Sim","Término posterior ao início do atendimento seguinte","")</x:f>
      </x:c>
      <x:c r="H37" s="139" t="n">
        <x:f>IF(B38&gt;D37,B38-D37,0)</x:f>
        <x:v>0.0006944444467080757</x:v>
      </x:c>
    </x:row>
    <x:row r="38">
      <x:c r="A38" s="103" t="str">
        <x:v>Paciente 30</x:v>
      </x:c>
      <x:c r="B38" s="126" t="n">
        <x:v>46213.65625</x:v>
      </x:c>
      <x:c r="C38" s="127" t="n">
        <x:f>D38-B38</x:f>
        <x:v>0.012499999997089617</x:v>
      </x:c>
      <x:c r="D38" s="126" t="n">
        <x:v>46213.66875</x:v>
      </x:c>
      <x:c r="E38" s="127" t="str">
        <x:f>IF(F38="Sim",B39-B38,"")</x:f>
      </x:c>
      <x:c r="F38" s="128" t="str">
        <x:f>IF(D38&gt;B39,"Sim","Não")</x:f>
        <x:v>Não</x:v>
      </x:c>
      <x:c r="G38" s="145" t="str">
        <x:f>IF(F38="Sim","Término posterior ao início do atendimento seguinte","")</x:f>
      </x:c>
      <x:c r="H38" s="139" t="n">
        <x:f>IF(B39&gt;D38,B39-D38,0)</x:f>
        <x:v>0.0013888888934161514</x:v>
      </x:c>
    </x:row>
    <x:row r="39">
      <x:c r="A39" s="103" t="str">
        <x:v>Paciente 31</x:v>
      </x:c>
      <x:c r="B39" s="126" t="n">
        <x:v>46213.67013888889</x:v>
      </x:c>
      <x:c r="C39" s="127" t="n">
        <x:f>D39-B39</x:f>
        <x:v>0.006944444445252884</x:v>
      </x:c>
      <x:c r="D39" s="126" t="n">
        <x:v>46213.677083333336</x:v>
      </x:c>
      <x:c r="E39" s="127" t="str">
        <x:f>IF(F39="Sim",B40-B39,"")</x:f>
      </x:c>
      <x:c r="F39" s="128" t="str">
        <x:f>IF(D39&gt;B40,"Sim","Não")</x:f>
        <x:v>Não</x:v>
      </x:c>
      <x:c r="G39" s="145" t="str">
        <x:f>IF(F39="Sim","Término posterior ao início do atendimento seguinte","")</x:f>
      </x:c>
      <x:c r="H39" s="139" t="n">
        <x:f>IF(B40&gt;D39,B40-D39,0)</x:f>
        <x:v>0.0006944444394321181</x:v>
      </x:c>
    </x:row>
    <x:row r="40">
      <x:c r="A40" s="103" t="str">
        <x:v>Paciente 32</x:v>
      </x:c>
      <x:c r="B40" s="126" t="n">
        <x:v>46213.677777777775</x:v>
      </x:c>
      <x:c r="C40" s="127" t="n">
        <x:f>D40-B40</x:f>
        <x:v>0.020833333335758653</x:v>
      </x:c>
      <x:c r="D40" s="126" t="n">
        <x:v>46213.69861111111</x:v>
      </x:c>
      <x:c r="E40" s="127" t="str">
        <x:f>IF(F40="Sim",B41-B40,"")</x:f>
      </x:c>
      <x:c r="F40" s="128" t="str">
        <x:f>IF(D40&gt;B41,"Sim","Não")</x:f>
        <x:v>Não</x:v>
      </x:c>
      <x:c r="G40" s="145" t="str">
        <x:f>IF(F40="Sim","Término posterior ao início do atendimento seguinte","")</x:f>
      </x:c>
      <x:c r="H40" s="139" t="n">
        <x:f>IF(B41&gt;D40,B41-D40,0)</x:f>
        <x:v>0.0006944444467080757</x:v>
      </x:c>
    </x:row>
    <x:row r="41">
      <x:c r="A41" s="103" t="str">
        <x:v>Paciente 33</x:v>
      </x:c>
      <x:c r="B41" s="126" t="n">
        <x:v>46213.69930555556</x:v>
      </x:c>
      <x:c r="C41" s="127" t="n">
        <x:f>D41-B41</x:f>
        <x:v>0.008333333331393078</x:v>
      </x:c>
      <x:c r="D41" s="126" t="n">
        <x:v>46213.70763888889</x:v>
      </x:c>
      <x:c r="E41" s="127" t="str">
        <x:f>IF(F41="Sim",B42-B41,"")</x:f>
      </x:c>
      <x:c r="F41" s="128" t="str">
        <x:f>IF(D41&gt;B42,"Sim","Não")</x:f>
        <x:v>Não</x:v>
      </x:c>
      <x:c r="G41" s="145" t="str">
        <x:f>IF(F41="Sim","Término posterior ao início do atendimento seguinte","")</x:f>
      </x:c>
      <x:c r="H41" s="139" t="n">
        <x:f>IF(B42&gt;D41,B42-D41,0)</x:f>
        <x:v>0.0006944444467080757</x:v>
      </x:c>
    </x:row>
    <x:row r="42">
      <x:c r="A42" s="103" t="str">
        <x:v>Paciente 34</x:v>
      </x:c>
      <x:c r="B42" s="126" t="n">
        <x:v>46213.708333333336</x:v>
      </x:c>
      <x:c r="C42" s="127" t="n">
        <x:f>D42-B42</x:f>
        <x:v>0.010416666664241347</x:v>
      </x:c>
      <x:c r="D42" s="126" t="n">
        <x:v>46213.71875</x:v>
      </x:c>
      <x:c r="E42" s="127" t="str">
        <x:f>IF(F42="Sim",B43-B42,"")</x:f>
      </x:c>
      <x:c r="F42" s="128" t="str">
        <x:f>IF(D42&gt;B43,"Sim","Não")</x:f>
        <x:v>Não</x:v>
      </x:c>
      <x:c r="G42" s="145" t="str">
        <x:f>IF(F42="Sim","Término posterior ao início do atendimento seguinte","")</x:f>
      </x:c>
      <x:c r="H42" s="139" t="n">
        <x:f>IF(B43&gt;D42,B43-D42,0)</x:f>
        <x:v>0.0006944444467080757</x:v>
      </x:c>
    </x:row>
    <x:row r="43">
      <x:c r="A43" s="103" t="str">
        <x:v>Paciente 35</x:v>
      </x:c>
      <x:c r="B43" s="126" t="n">
        <x:v>46213.71944444445</x:v>
      </x:c>
      <x:c r="C43" s="127" t="n">
        <x:f>D43-B43</x:f>
        <x:v>0.0027777777722803876</x:v>
      </x:c>
      <x:c r="D43" s="126" t="n">
        <x:v>46213.72222222222</x:v>
      </x:c>
      <x:c r="E43" s="127" t="str">
        <x:f>IF(F43="Sim",B44-B43,"")</x:f>
      </x:c>
      <x:c r="F43" s="128" t="str">
        <x:f>IF(D43&gt;B44,"Sim","Não")</x:f>
        <x:v>Não</x:v>
      </x:c>
      <x:c r="G43" s="145" t="str">
        <x:f>IF(F43="Sim","Término posterior ao início do atendimento seguinte","")</x:f>
      </x:c>
      <x:c r="H43" s="139" t="n">
        <x:f>IF(B44&gt;D43,B44-D43,0)</x:f>
        <x:v>0</x:v>
      </x:c>
    </x:row>
    <x:row r="44">
      <x:c r="A44" s="103" t="str">
        <x:v>Paciente 36</x:v>
      </x:c>
      <x:c r="B44" s="126" t="n">
        <x:v>46213.72222222222</x:v>
      </x:c>
      <x:c r="C44" s="127" t="n">
        <x:f>D44-B44</x:f>
        <x:v>0.009027777778101154</x:v>
      </x:c>
      <x:c r="D44" s="126" t="n">
        <x:v>46213.73125</x:v>
      </x:c>
      <x:c r="E44" s="127" t="str">
        <x:f>IF(F44="Sim",B45-B44,"")</x:f>
      </x:c>
      <x:c r="F44" s="128" t="str">
        <x:f>IF(D44&gt;B45,"Sim","Não")</x:f>
        <x:v>Não</x:v>
      </x:c>
      <x:c r="G44" s="145" t="str">
        <x:f>IF(F44="Sim","Término posterior ao início do atendimento seguinte","")</x:f>
      </x:c>
      <x:c r="H44" s="139" t="n">
        <x:f>IF(B45&gt;D44,B45-D44,0)</x:f>
        <x:v>0.0013888888934161514</x:v>
      </x:c>
    </x:row>
    <x:row r="45">
      <x:c r="A45" s="103" t="str">
        <x:v>Paciente 37</x:v>
      </x:c>
      <x:c r="B45" s="126" t="n">
        <x:v>46213.73263888889</x:v>
      </x:c>
      <x:c r="C45" s="127" t="n">
        <x:f>D45-B45</x:f>
        <x:v>0.004861111112404615</x:v>
      </x:c>
      <x:c r="D45" s="126" t="n">
        <x:v>46213.7375</x:v>
      </x:c>
      <x:c r="E45" s="127" t="str">
        <x:f>IF(F45="Sim",B46-B45,"")</x:f>
      </x:c>
      <x:c r="F45" s="128" t="str">
        <x:f>IF(D45&gt;B46,"Sim","Não")</x:f>
        <x:v>Não</x:v>
      </x:c>
      <x:c r="G45" s="145" t="str">
        <x:f>IF(F45="Sim","Término posterior ao início do atendimento seguinte","")</x:f>
      </x:c>
      <x:c r="H45" s="139" t="n">
        <x:f>IF(B46&gt;D45,B46-D45,0)</x:f>
        <x:v>0.0006944444394321181</x:v>
      </x:c>
    </x:row>
    <x:row r="46">
      <x:c r="A46" s="103" t="str">
        <x:v>Paciente 38</x:v>
      </x:c>
      <x:c r="B46" s="126" t="n">
        <x:v>46213.73819444444</x:v>
      </x:c>
      <x:c r="C46" s="127" t="n">
        <x:f>D46-B46</x:f>
        <x:v>0.002777777779556345</x:v>
      </x:c>
      <x:c r="D46" s="126" t="n">
        <x:v>46213.74097222222</x:v>
      </x:c>
      <x:c r="E46" s="127" t="str">
        <x:f>IF(F46="Sim",B47-B46,"")</x:f>
      </x:c>
      <x:c r="F46" s="128" t="str">
        <x:f>IF(D46&gt;B47,"Sim","Não")</x:f>
        <x:v>Não</x:v>
      </x:c>
      <x:c r="G46" s="145" t="str">
        <x:f>IF(F46="Sim","Término posterior ao início do atendimento seguinte","")</x:f>
      </x:c>
      <x:c r="H46" s="139" t="n">
        <x:f>IF(B47&gt;D46,B47-D46,0)</x:f>
        <x:v>0.0006944444467080757</x:v>
      </x:c>
    </x:row>
    <x:row r="47">
      <x:c r="A47" s="103" t="str">
        <x:v>Paciente 39</x:v>
      </x:c>
      <x:c r="B47" s="126" t="n">
        <x:v>46213.74166666667</x:v>
      </x:c>
      <x:c r="C47" s="127" t="n">
        <x:f>D47-B47</x:f>
        <x:v>0.004861111112404615</x:v>
      </x:c>
      <x:c r="D47" s="126" t="n">
        <x:v>46213.74652777778</x:v>
      </x:c>
      <x:c r="E47" s="127" t="str">
        <x:f>IF(F47="Sim",B48-B47,"")</x:f>
      </x:c>
      <x:c r="F47" s="128" t="str">
        <x:f>IF(D47&gt;B48,"Sim","Não")</x:f>
        <x:v>Não</x:v>
      </x:c>
      <x:c r="G47" s="145" t="str">
        <x:f>IF(F47="Sim","Término posterior ao início do atendimento seguinte","")</x:f>
      </x:c>
      <x:c r="H47" s="139" t="n">
        <x:f>IF(B48&gt;D47,B48-D47,0)</x:f>
        <x:v>0.0006944444394321181</x:v>
      </x:c>
    </x:row>
    <x:row r="48">
      <x:c r="A48" s="103" t="str">
        <x:v>Paciente 40</x:v>
      </x:c>
      <x:c r="B48" s="126" t="n">
        <x:v>46213.74722222222</x:v>
      </x:c>
      <x:c r="C48" s="127" t="n">
        <x:f>D48-B48</x:f>
        <x:v>0.004166666665696539</x:v>
      </x:c>
      <x:c r="D48" s="126" t="n">
        <x:v>46213.751388888886</x:v>
      </x:c>
      <x:c r="E48" s="127" t="str">
        <x:f>IF(F48="Sim",B49-B48,"")</x:f>
      </x:c>
      <x:c r="F48" s="128" t="str">
        <x:f>IF(D48&gt;B49,"Sim","Não")</x:f>
        <x:v>Não</x:v>
      </x:c>
      <x:c r="G48" s="145" t="str">
        <x:f>IF(F48="Sim","Término posterior ao início do atendimento seguinte","")</x:f>
      </x:c>
      <x:c r="H48" s="139" t="n">
        <x:f>IF(B49&gt;D48,B49-D48,0)</x:f>
        <x:v>0.0006944444467080757</x:v>
      </x:c>
    </x:row>
    <x:row r="49">
      <x:c r="A49" s="103" t="str">
        <x:v>Paciente 41</x:v>
      </x:c>
      <x:c r="B49" s="126" t="n">
        <x:v>46213.75208333333</x:v>
      </x:c>
      <x:c r="C49" s="127" t="n">
        <x:f>D49-B49</x:f>
        <x:v>0.002777777779556345</x:v>
      </x:c>
      <x:c r="D49" s="126" t="n">
        <x:v>46213.75486111111</x:v>
      </x:c>
      <x:c r="E49" s="127" t="str">
        <x:f>IF(F49="Sim",B50-B49,"")</x:f>
      </x:c>
      <x:c r="F49" s="128" t="str">
        <x:f>IF(D49&gt;B50,"Sim","Não")</x:f>
        <x:v>Não</x:v>
      </x:c>
      <x:c r="G49" s="145" t="str">
        <x:f>IF(F49="Sim","Término posterior ao início do atendimento seguinte","")</x:f>
      </x:c>
      <x:c r="H49" s="139" t="n">
        <x:f>IF(B50&gt;D49,B50-D49,0)</x:f>
        <x:v>0</x:v>
      </x:c>
    </x:row>
    <x:row r="50">
      <x:c r="A50" s="103" t="str">
        <x:v>Paciente 42</x:v>
      </x:c>
      <x:c r="B50" s="126" t="n">
        <x:v>46213.75486111111</x:v>
      </x:c>
      <x:c r="C50" s="127" t="n">
        <x:f>D50-B50</x:f>
        <x:v>0.002777777779556345</x:v>
      </x:c>
      <x:c r="D50" s="126" t="n">
        <x:v>46213.75763888889</x:v>
      </x:c>
      <x:c r="E50" s="127" t="str">
        <x:f>IF(F50="Sim",B51-B50,"")</x:f>
      </x:c>
      <x:c r="F50" s="128" t="str">
        <x:f>IF(D50&gt;B51,"Sim","Não")</x:f>
        <x:v>Não</x:v>
      </x:c>
      <x:c r="G50" s="145" t="str">
        <x:f>IF(F50="Sim","Término posterior ao início do atendimento seguinte","")</x:f>
      </x:c>
      <x:c r="H50" s="139" t="n">
        <x:f>IF(B51&gt;D50,B51-D50,0)</x:f>
        <x:v>0.0006944444394321181</x:v>
      </x:c>
    </x:row>
    <x:row r="51">
      <x:c r="A51" s="103" t="str">
        <x:v>Paciente 43</x:v>
      </x:c>
      <x:c r="B51" s="126" t="n">
        <x:v>46213.75833333333</x:v>
      </x:c>
      <x:c r="C51" s="127" t="n">
        <x:f>D51-B51</x:f>
        <x:v>0.003472222226264421</x:v>
      </x:c>
      <x:c r="D51" s="126" t="n">
        <x:v>46213.76180555556</x:v>
      </x:c>
      <x:c r="E51" s="127" t="str">
        <x:f>IF(F51="Sim",B52-B51,"")</x:f>
      </x:c>
      <x:c r="F51" s="128" t="str">
        <x:f>IF(D51&gt;B52,"Sim","Não")</x:f>
        <x:v>Não</x:v>
      </x:c>
      <x:c r="G51" s="145" t="str">
        <x:f>IF(F51="Sim","Término posterior ao início do atendimento seguinte","")</x:f>
      </x:c>
      <x:c r="H51" s="139" t="n">
        <x:f>IF(B52&gt;D51,B52-D51,0)</x:f>
        <x:v>0.0006944444394321181</x:v>
      </x:c>
    </x:row>
    <x:row r="52">
      <x:c r="A52" s="103" t="str">
        <x:v>Paciente 44</x:v>
      </x:c>
      <x:c r="B52" s="126" t="n">
        <x:v>46213.7625</x:v>
      </x:c>
      <x:c r="C52" s="127" t="n">
        <x:f>D52-B52</x:f>
        <x:v>0.006250000005820766</x:v>
      </x:c>
      <x:c r="D52" s="126" t="n">
        <x:v>46213.76875</x:v>
      </x:c>
      <x:c r="E52" s="127" t="str">
        <x:f>IF(F52="Sim",B53-B52,"")</x:f>
      </x:c>
      <x:c r="F52" s="128" t="str">
        <x:f>IF(D52&gt;B53,"Sim","Não")</x:f>
        <x:v>Não</x:v>
      </x:c>
      <x:c r="G52" s="145" t="str">
        <x:f>IF(F52="Sim","Término posterior ao início do atendimento seguinte","")</x:f>
      </x:c>
      <x:c r="H52" s="139" t="n">
        <x:f>IF(B53&gt;D52,B53-D52,0)</x:f>
        <x:v>0.0006944444394321181</x:v>
      </x:c>
    </x:row>
    <x:row r="53">
      <x:c r="A53" s="103" t="str">
        <x:v>Paciente 45</x:v>
      </x:c>
      <x:c r="B53" s="126" t="n">
        <x:v>46213.76944444444</x:v>
      </x:c>
      <x:c r="C53" s="127" t="n">
        <x:f>D53-B53</x:f>
        <x:v>0.0020833333328482695</x:v>
      </x:c>
      <x:c r="D53" s="126" t="n">
        <x:v>46213.771527777775</x:v>
      </x:c>
      <x:c r="E53" s="127" t="str">
        <x:f>IF(F53="Sim",B54-B53,"")</x:f>
      </x:c>
      <x:c r="F53" s="128" t="str">
        <x:f>IF(D53&gt;B54,"Sim","Não")</x:f>
        <x:v>Não</x:v>
      </x:c>
      <x:c r="G53" s="145" t="str">
        <x:f>IF(F53="Sim","Término posterior ao início do atendimento seguinte","")</x:f>
      </x:c>
      <x:c r="H53" s="139" t="n">
        <x:f>IF(B54&gt;D53,B54-D53,0)</x:f>
        <x:v>0.0006944444467080757</x:v>
      </x:c>
    </x:row>
    <x:row r="54">
      <x:c r="A54" s="103" t="str">
        <x:v>Paciente 46</x:v>
      </x:c>
      <x:c r="B54" s="126" t="n">
        <x:v>46213.77222222222</x:v>
      </x:c>
      <x:c r="C54" s="127" t="n">
        <x:f>D54-B54</x:f>
        <x:v>0.006944444445252884</x:v>
      </x:c>
      <x:c r="D54" s="126" t="n">
        <x:v>46213.77916666667</x:v>
      </x:c>
      <x:c r="E54" s="127" t="str">
        <x:f>IF(F54="Sim",B55-B54,"")</x:f>
      </x:c>
      <x:c r="F54" s="128" t="str">
        <x:f>IF(D54&gt;B55,"Sim","Não")</x:f>
        <x:v>Não</x:v>
      </x:c>
      <x:c r="G54" s="145" t="str">
        <x:f>IF(F54="Sim","Término posterior ao início do atendimento seguinte","")</x:f>
      </x:c>
      <x:c r="H54" s="139" t="n">
        <x:f>IF(B55&gt;D54,B55-D54,0)</x:f>
        <x:v>0</x:v>
      </x:c>
    </x:row>
    <x:row r="55">
      <x:c r="A55" s="106" t="str">
        <x:v>Paciente 47</x:v>
      </x:c>
      <x:c r="B55" s="129" t="n">
        <x:v>46213.77916666667</x:v>
      </x:c>
      <x:c r="C55" s="130" t="n">
        <x:f>D55-B55</x:f>
        <x:v>0.002777777779556345</x:v>
      </x:c>
      <x:c r="D55" s="129" t="n">
        <x:v>46213.78194444445</x:v>
      </x:c>
      <x:c r="E55" s="130"/>
      <x:c r="F55" s="131" t="str">
        <x:v>Não</x:v>
      </x:c>
      <x:c r="G55" s="146" t="str"/>
      <x:c r="H55" s="140"/>
    </x:row>
  </x:sheetData>
  <x:mergeCells>
    <x:mergeCell ref="A1:H1"/>
    <x:mergeCell ref="B2:H2"/>
    <x:mergeCell ref="B3:H3"/>
    <x:mergeCell ref="B4:H4"/>
    <x:mergeCell ref="A6:H6"/>
  </x:mergeCells>
  <x:conditionalFormatting sqref="A9:H55">
    <x:cfRule type="expression" dxfId="6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0d5ad4966643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211" t="str">
        <x:v>ANÁLISE DE ATENDIMENTOS - ORTOPEDIA E TRAUMATOLOGIA</x:v>
      </x:c>
      <x:c r="B1" s="211"/>
      <x:c r="C1" s="211"/>
      <x:c r="D1" s="211"/>
      <x:c r="E1" s="211"/>
      <x:c r="F1" s="211"/>
      <x:c r="G1" s="211"/>
      <x:c r="H1" s="211"/>
    </x:row>
    <x:row r="2">
      <x:c r="A2" s="213" t="str">
        <x:v>Médico</x:v>
      </x:c>
      <x:c r="B2" t="str">
        <x:v>Lucas Emanuel de Oliveira</x:v>
      </x:c>
    </x:row>
    <x:row r="3">
      <x:c r="A3" s="213" t="str">
        <x:v>Especialidade</x:v>
      </x:c>
      <x:c r="B3" t="str">
        <x:v>Ortopedia e Traumatologia</x:v>
      </x:c>
    </x:row>
    <x:row r="4">
      <x:c r="A4" s="213" t="str">
        <x:v>Data</x:v>
      </x:c>
      <x:c r="B4" s="45" t="n">
        <x:v>46219</x:v>
      </x:c>
    </x:row>
    <x:row r="6" ht="38" customHeight="1">
      <x:c r="A6" s="217" t="str">
        <x:v>Nos casos de sobreposição, o tempo real é calculado pelo início do atendimento seguinte menos o início do atendimento atual.</x:v>
      </x:c>
      <x:c r="B6" s="217"/>
      <x:c r="C6" s="217"/>
      <x:c r="D6" s="217"/>
      <x:c r="E6" s="217"/>
      <x:c r="F6" s="217"/>
      <x:c r="G6" s="217"/>
      <x:c r="H6" s="217"/>
    </x:row>
    <x:row r="7" ht="42" customHeight="1">
      <x:c r="A7" s="226" t="n">
        <x:f>COUNTA(A9:A27)</x:f>
        <x:v>19</x:v>
      </x:c>
      <x:c r="B7" s="227" t="n">
        <x:f>IFERROR(AVERAGE(C9:C27),"")</x:f>
        <x:v>0.0063961988309625</x:v>
      </x:c>
      <x:c r="C7" s="227" t="n">
        <x:f>IFERROR(MAX(C9:C27),"")</x:f>
        <x:v>0.011805555550381541</x:v>
      </x:c>
      <x:c r="D7" s="226" t="n">
        <x:f>COUNTIF(F9:F27,"Sim")</x:f>
        <x:v>0</x:v>
      </x:c>
      <x:c r="E7" s="227" t="n">
        <x:f>IFERROR(MAX(H9:H27),"")</x:f>
        <x:v>0.008333333331393078</x:v>
      </x:c>
      <x:c r="F7" s="227" t="n">
        <x:f>SUM(C9:C27)</x:f>
        <x:v>0.1215277777882875</x:v>
      </x:c>
      <x:c r="G7" s="227" t="n">
        <x:f>SUM(E9:E27)</x:f>
        <x:v>0</x:v>
      </x:c>
      <x:c r="H7" s="226" t="n">
        <x:f>COUNT(E9:E27)</x:f>
        <x:v>0</x:v>
      </x:c>
    </x:row>
    <x:row r="8" ht="48" customHeight="1">
      <x:c r="A8" s="232" t="str">
        <x:v>Nome fila</x:v>
      </x:c>
      <x:c r="B8" s="232" t="str">
        <x:v>Início do atendimento</x:v>
      </x:c>
      <x:c r="C8" s="232" t="str">
        <x:v>Tempo de atendimento pelo sistema</x:v>
      </x:c>
      <x:c r="D8" s="232" t="str">
        <x:v>Término do atendimento</x:v>
      </x:c>
      <x:c r="E8" s="232" t="str">
        <x:v>Tempo de atendimento real</x:v>
      </x:c>
      <x:c r="F8" s="232" t="str">
        <x:v>Sobreposição identificada</x:v>
      </x:c>
      <x:c r="G8" s="232" t="str">
        <x:v>Observação</x:v>
      </x:c>
      <x:c r="H8" s="232" t="str">
        <x:v>Intervalo até o próximo atendimento</x:v>
      </x:c>
    </x:row>
    <x:row r="9">
      <x:c r="A9" s="233" t="str">
        <x:v>Paciente 1</x:v>
      </x:c>
      <x:c r="B9" s="248" t="n">
        <x:v>46219.600694444445</x:v>
      </x:c>
      <x:c r="C9" s="249" t="n">
        <x:f>IF(D9&lt;&gt;"",D9-B9,"")</x:f>
        <x:v>0.002777777779556345</x:v>
      </x:c>
      <x:c r="D9" s="248" t="n">
        <x:v>46219.603472222225</x:v>
      </x:c>
      <x:c r="E9" s="249" t="str">
        <x:f>IF(F9="Sim",B10-B9,"")</x:f>
      </x:c>
      <x:c r="F9" s="250" t="str">
        <x:f>IF(AND(D9&lt;&gt;"",D9&gt;B10),"Sim","Não")</x:f>
        <x:v>Não</x:v>
      </x:c>
      <x:c r="G9" s="260" t="str">
        <x:f>IF(F9="Sim","Término posterior ao início do atendimento seguinte","")</x:f>
      </x:c>
      <x:c r="H9" s="257" t="n">
        <x:f>IF(D9&lt;&gt;"",MAX(0,B10-D9),"")</x:f>
        <x:v>0.0006944444394321181</x:v>
      </x:c>
    </x:row>
    <x:row r="10">
      <x:c r="A10" s="238" t="str">
        <x:v>Paciente 2</x:v>
      </x:c>
      <x:c r="B10" s="251" t="n">
        <x:v>46219.604166666664</x:v>
      </x:c>
      <x:c r="C10" s="252" t="n">
        <x:f>IF(D10&lt;&gt;"",D10-B10,"")</x:f>
        <x:v>0.006944444445252884</x:v>
      </x:c>
      <x:c r="D10" s="251" t="n">
        <x:v>46219.61111111111</x:v>
      </x:c>
      <x:c r="E10" s="252" t="str">
        <x:f>IF(F10="Sim",B11-B10,"")</x:f>
      </x:c>
      <x:c r="F10" s="253" t="str">
        <x:f>IF(AND(D10&lt;&gt;"",D10&gt;B11),"Sim","Não")</x:f>
        <x:v>Não</x:v>
      </x:c>
      <x:c r="G10" s="261" t="str">
        <x:f>IF(F10="Sim","Término posterior ao início do atendimento seguinte","")</x:f>
      </x:c>
      <x:c r="H10" s="258" t="n">
        <x:f>IF(D10&lt;&gt;"",MAX(0,B11-D10),"")</x:f>
        <x:v>0.003472222226264421</x:v>
      </x:c>
    </x:row>
    <x:row r="11">
      <x:c r="A11" s="238" t="str">
        <x:v>Paciente 3</x:v>
      </x:c>
      <x:c r="B11" s="251" t="n">
        <x:v>46219.614583333336</x:v>
      </x:c>
      <x:c r="C11" s="252" t="n">
        <x:f>IF(D11&lt;&gt;"",D11-B11,"")</x:f>
        <x:v>0.010416666664241347</x:v>
      </x:c>
      <x:c r="D11" s="251" t="n">
        <x:v>46219.625</x:v>
      </x:c>
      <x:c r="E11" s="252" t="str">
        <x:f>IF(F11="Sim",B12-B11,"")</x:f>
      </x:c>
      <x:c r="F11" s="253" t="str">
        <x:f>IF(AND(D11&lt;&gt;"",D11&gt;B12),"Sim","Não")</x:f>
        <x:v>Não</x:v>
      </x:c>
      <x:c r="G11" s="261" t="str">
        <x:f>IF(F11="Sim","Término posterior ao início do atendimento seguinte","")</x:f>
      </x:c>
      <x:c r="H11" s="258" t="n">
        <x:f>IF(D11&lt;&gt;"",MAX(0,B12-D11),"")</x:f>
        <x:v>0.0013888888861401938</x:v>
      </x:c>
    </x:row>
    <x:row r="12">
      <x:c r="A12" s="238" t="str">
        <x:v>Paciente 4</x:v>
      </x:c>
      <x:c r="B12" s="251" t="n">
        <x:v>46219.626388888886</x:v>
      </x:c>
      <x:c r="C12" s="252" t="n">
        <x:f>IF(D12&lt;&gt;"",D12-B12,"")</x:f>
        <x:v>0.006250000005820766</x:v>
      </x:c>
      <x:c r="D12" s="251" t="n">
        <x:v>46219.63263888889</x:v>
      </x:c>
      <x:c r="E12" s="252" t="str">
        <x:f>IF(F12="Sim",B13-B12,"")</x:f>
      </x:c>
      <x:c r="F12" s="253" t="str">
        <x:f>IF(AND(D12&lt;&gt;"",D12&gt;B13),"Sim","Não")</x:f>
        <x:v>Não</x:v>
      </x:c>
      <x:c r="G12" s="261" t="str">
        <x:f>IF(F12="Sim","Término posterior ao início do atendimento seguinte","")</x:f>
      </x:c>
      <x:c r="H12" s="258" t="n">
        <x:f>IF(D12&lt;&gt;"",MAX(0,B13-D12),"")</x:f>
        <x:v>0</x:v>
      </x:c>
    </x:row>
    <x:row r="13">
      <x:c r="A13" s="238" t="str">
        <x:v>Paciente 5</x:v>
      </x:c>
      <x:c r="B13" s="251" t="n">
        <x:v>46219.63263888889</x:v>
      </x:c>
      <x:c r="C13" s="252" t="n">
        <x:f>IF(D13&lt;&gt;"",D13-B13,"")</x:f>
        <x:v>0.0034722222189884633</x:v>
      </x:c>
      <x:c r="D13" s="251" t="n">
        <x:v>46219.63611111111</x:v>
      </x:c>
      <x:c r="E13" s="252" t="str">
        <x:f>IF(F13="Sim",B14-B13,"")</x:f>
      </x:c>
      <x:c r="F13" s="253" t="str">
        <x:f>IF(AND(D13&lt;&gt;"",D13&gt;B14),"Sim","Não")</x:f>
        <x:v>Não</x:v>
      </x:c>
      <x:c r="G13" s="261" t="str">
        <x:f>IF(F13="Sim","Término posterior ao início do atendimento seguinte","")</x:f>
      </x:c>
      <x:c r="H13" s="258" t="n">
        <x:f>IF(D13&lt;&gt;"",MAX(0,B14-D13),"")</x:f>
        <x:v>0.0006944444467080757</x:v>
      </x:c>
    </x:row>
    <x:row r="14">
      <x:c r="A14" s="238" t="str">
        <x:v>Paciente 6</x:v>
      </x:c>
      <x:c r="B14" s="251" t="n">
        <x:v>46219.63680555556</x:v>
      </x:c>
      <x:c r="C14" s="252" t="n">
        <x:f>IF(D14&lt;&gt;"",D14-B14,"")</x:f>
        <x:v>0.011805555550381541</x:v>
      </x:c>
      <x:c r="D14" s="251" t="n">
        <x:v>46219.64861111111</x:v>
      </x:c>
      <x:c r="E14" s="252" t="str">
        <x:f>IF(F14="Sim",B15-B14,"")</x:f>
      </x:c>
      <x:c r="F14" s="253" t="str">
        <x:f>IF(AND(D14&lt;&gt;"",D14&gt;B15),"Sim","Não")</x:f>
        <x:v>Não</x:v>
      </x:c>
      <x:c r="G14" s="261" t="str">
        <x:f>IF(F14="Sim","Término posterior ao início do atendimento seguinte","")</x:f>
      </x:c>
      <x:c r="H14" s="258" t="n">
        <x:f>IF(D14&lt;&gt;"",MAX(0,B15-D14),"")</x:f>
        <x:v>0.0006944444467080757</x:v>
      </x:c>
    </x:row>
    <x:row r="15">
      <x:c r="A15" s="238" t="str">
        <x:v>Paciente 7</x:v>
      </x:c>
      <x:c r="B15" s="251" t="n">
        <x:v>46219.649305555555</x:v>
      </x:c>
      <x:c r="C15" s="252" t="n">
        <x:f>IF(D15&lt;&gt;"",D15-B15,"")</x:f>
        <x:v>0.004861111112404615</x:v>
      </x:c>
      <x:c r="D15" s="251" t="n">
        <x:v>46219.65416666667</x:v>
      </x:c>
      <x:c r="E15" s="252" t="str">
        <x:f>IF(F15="Sim",B16-B15,"")</x:f>
      </x:c>
      <x:c r="F15" s="253" t="str">
        <x:f>IF(AND(D15&lt;&gt;"",D15&gt;B16),"Sim","Não")</x:f>
        <x:v>Não</x:v>
      </x:c>
      <x:c r="G15" s="261" t="str">
        <x:f>IF(F15="Sim","Término posterior ao início do atendimento seguinte","")</x:f>
      </x:c>
      <x:c r="H15" s="258" t="n">
        <x:f>IF(D15&lt;&gt;"",MAX(0,B16-D15),"")</x:f>
        <x:v>0.0006944444467080757</x:v>
      </x:c>
    </x:row>
    <x:row r="16">
      <x:c r="A16" s="238" t="str">
        <x:v>Paciente 8</x:v>
      </x:c>
      <x:c r="B16" s="251" t="n">
        <x:v>46219.654861111114</x:v>
      </x:c>
      <x:c r="C16" s="252" t="n">
        <x:f>IF(D16&lt;&gt;"",D16-B16,"")</x:f>
        <x:v>0.0020833333328482695</x:v>
      </x:c>
      <x:c r="D16" s="251" t="n">
        <x:v>46219.65694444445</x:v>
      </x:c>
      <x:c r="E16" s="252" t="str">
        <x:f>IF(F16="Sim",B17-B16,"")</x:f>
      </x:c>
      <x:c r="F16" s="253" t="str">
        <x:f>IF(AND(D16&lt;&gt;"",D16&gt;B17),"Sim","Não")</x:f>
        <x:v>Não</x:v>
      </x:c>
      <x:c r="G16" s="261" t="str">
        <x:f>IF(F16="Sim","Término posterior ao início do atendimento seguinte","")</x:f>
      </x:c>
      <x:c r="H16" s="258" t="n">
        <x:f>IF(D16&lt;&gt;"",MAX(0,B17-D16),"")</x:f>
        <x:v>0.0006944444394321181</x:v>
      </x:c>
    </x:row>
    <x:row r="17">
      <x:c r="A17" s="238" t="str">
        <x:v>Paciente 9</x:v>
      </x:c>
      <x:c r="B17" s="251" t="n">
        <x:v>46219.657638888886</x:v>
      </x:c>
      <x:c r="C17" s="252" t="n">
        <x:f>IF(D17&lt;&gt;"",D17-B17,"")</x:f>
        <x:v>0.00972222222480923</x:v>
      </x:c>
      <x:c r="D17" s="251" t="n">
        <x:v>46219.66736111111</x:v>
      </x:c>
      <x:c r="E17" s="252" t="str">
        <x:f>IF(F17="Sim",B18-B17,"")</x:f>
      </x:c>
      <x:c r="F17" s="253" t="str">
        <x:f>IF(AND(D17&lt;&gt;"",D17&gt;B18),"Sim","Não")</x:f>
        <x:v>Não</x:v>
      </x:c>
      <x:c r="G17" s="261" t="str">
        <x:f>IF(F17="Sim","Término posterior ao início do atendimento seguinte","")</x:f>
      </x:c>
      <x:c r="H17" s="258" t="n">
        <x:f>IF(D17&lt;&gt;"",MAX(0,B18-D17),"")</x:f>
        <x:v>0.008333333331393078</x:v>
      </x:c>
    </x:row>
    <x:row r="18">
      <x:c r="A18" s="238" t="str">
        <x:v>Paciente 10</x:v>
      </x:c>
      <x:c r="B18" s="251" t="n">
        <x:v>46219.67569444444</x:v>
      </x:c>
      <x:c r="C18" s="252" t="n">
        <x:f>IF(D18&lt;&gt;"",D18-B18,"")</x:f>
        <x:v>0.010416666671517305</x:v>
      </x:c>
      <x:c r="D18" s="251" t="n">
        <x:v>46219.686111111114</x:v>
      </x:c>
      <x:c r="E18" s="252" t="str">
        <x:f>IF(F18="Sim",B19-B18,"")</x:f>
      </x:c>
      <x:c r="F18" s="253" t="str">
        <x:f>IF(AND(D18&lt;&gt;"",D18&gt;B19),"Sim","Não")</x:f>
        <x:v>Não</x:v>
      </x:c>
      <x:c r="G18" s="261" t="str">
        <x:f>IF(F18="Sim","Término posterior ao início do atendimento seguinte","")</x:f>
      </x:c>
      <x:c r="H18" s="258" t="n">
        <x:f>IF(D18&lt;&gt;"",MAX(0,B19-D18),"")</x:f>
        <x:v>0.0006944444394321181</x:v>
      </x:c>
    </x:row>
    <x:row r="19">
      <x:c r="A19" s="238" t="str">
        <x:v>Paciente 11</x:v>
      </x:c>
      <x:c r="B19" s="251" t="n">
        <x:v>46219.68680555555</x:v>
      </x:c>
      <x:c r="C19" s="252" t="n">
        <x:f>IF(D19&lt;&gt;"",D19-B19,"")</x:f>
        <x:v>0.00972222222480923</x:v>
      </x:c>
      <x:c r="D19" s="251" t="n">
        <x:v>46219.69652777778</x:v>
      </x:c>
      <x:c r="E19" s="252" t="str">
        <x:f>IF(F19="Sim",B20-B19,"")</x:f>
      </x:c>
      <x:c r="F19" s="253" t="str">
        <x:f>IF(AND(D19&lt;&gt;"",D19&gt;B20),"Sim","Não")</x:f>
        <x:v>Não</x:v>
      </x:c>
      <x:c r="G19" s="261" t="str">
        <x:f>IF(F19="Sim","Término posterior ao início do atendimento seguinte","")</x:f>
      </x:c>
      <x:c r="H19" s="258" t="n">
        <x:f>IF(D19&lt;&gt;"",MAX(0,B20-D19),"")</x:f>
        <x:v>0.0006944444467080757</x:v>
      </x:c>
    </x:row>
    <x:row r="20">
      <x:c r="A20" s="238" t="str">
        <x:v>Paciente 12</x:v>
      </x:c>
      <x:c r="B20" s="251" t="n">
        <x:v>46219.697222222225</x:v>
      </x:c>
      <x:c r="C20" s="252" t="n">
        <x:f>IF(D20&lt;&gt;"",D20-B20,"")</x:f>
        <x:v>0.005555555551836733</x:v>
      </x:c>
      <x:c r="D20" s="251" t="n">
        <x:v>46219.70277777778</x:v>
      </x:c>
      <x:c r="E20" s="252" t="str">
        <x:f>IF(F20="Sim",B21-B20,"")</x:f>
      </x:c>
      <x:c r="F20" s="253" t="str">
        <x:f>IF(AND(D20&lt;&gt;"",D20&gt;B21),"Sim","Não")</x:f>
        <x:v>Não</x:v>
      </x:c>
      <x:c r="G20" s="261" t="str">
        <x:f>IF(F20="Sim","Término posterior ao início do atendimento seguinte","")</x:f>
      </x:c>
      <x:c r="H20" s="258" t="n">
        <x:f>IF(D20&lt;&gt;"",MAX(0,B21-D20),"")</x:f>
        <x:v>0</x:v>
      </x:c>
    </x:row>
    <x:row r="21">
      <x:c r="A21" s="238" t="str">
        <x:v>Paciente 13</x:v>
      </x:c>
      <x:c r="B21" s="251" t="n">
        <x:v>46219.70277777778</x:v>
      </x:c>
      <x:c r="C21" s="252" t="n">
        <x:f>IF(D21&lt;&gt;"",D21-B21,"")</x:f>
        <x:v>0.0062499999985448085</x:v>
      </x:c>
      <x:c r="D21" s="251" t="n">
        <x:v>46219.709027777775</x:v>
      </x:c>
      <x:c r="E21" s="252" t="str">
        <x:f>IF(F21="Sim",B22-B21,"")</x:f>
      </x:c>
      <x:c r="F21" s="253" t="str">
        <x:f>IF(AND(D21&lt;&gt;"",D21&gt;B22),"Sim","Não")</x:f>
        <x:v>Não</x:v>
      </x:c>
      <x:c r="G21" s="261" t="str">
        <x:f>IF(F21="Sim","Término posterior ao início do atendimento seguinte","")</x:f>
      </x:c>
      <x:c r="H21" s="258" t="n">
        <x:f>IF(D21&lt;&gt;"",MAX(0,B22-D21),"")</x:f>
        <x:v>0</x:v>
      </x:c>
    </x:row>
    <x:row r="22">
      <x:c r="A22" s="238" t="str">
        <x:v>Paciente 14</x:v>
      </x:c>
      <x:c r="B22" s="251" t="n">
        <x:v>46219.709027777775</x:v>
      </x:c>
      <x:c r="C22" s="252" t="n">
        <x:f>IF(D22&lt;&gt;"",D22-B22,"")</x:f>
        <x:v>0.004861111112404615</x:v>
      </x:c>
      <x:c r="D22" s="251" t="n">
        <x:v>46219.71388888889</x:v>
      </x:c>
      <x:c r="E22" s="252" t="str">
        <x:f>IF(F22="Sim",B23-B22,"")</x:f>
      </x:c>
      <x:c r="F22" s="253" t="str">
        <x:f>IF(AND(D22&lt;&gt;"",D22&gt;B23),"Sim","Não")</x:f>
        <x:v>Não</x:v>
      </x:c>
      <x:c r="G22" s="261" t="str">
        <x:f>IF(F22="Sim","Término posterior ao início do atendimento seguinte","")</x:f>
      </x:c>
      <x:c r="H22" s="258" t="n">
        <x:f>IF(D22&lt;&gt;"",MAX(0,B23-D22),"")</x:f>
        <x:v>0</x:v>
      </x:c>
    </x:row>
    <x:row r="23">
      <x:c r="A23" s="238" t="str">
        <x:v>Paciente 15</x:v>
      </x:c>
      <x:c r="B23" s="251" t="n">
        <x:v>46219.71388888889</x:v>
      </x:c>
      <x:c r="C23" s="252" t="n">
        <x:f>IF(D23&lt;&gt;"",D23-B23,"")</x:f>
        <x:v>0.00763888889196096</x:v>
      </x:c>
      <x:c r="D23" s="251" t="n">
        <x:v>46219.72152777778</x:v>
      </x:c>
      <x:c r="E23" s="252" t="str">
        <x:f>IF(F23="Sim",B24-B23,"")</x:f>
      </x:c>
      <x:c r="F23" s="253" t="str">
        <x:f>IF(AND(D23&lt;&gt;"",D23&gt;B24),"Sim","Não")</x:f>
        <x:v>Não</x:v>
      </x:c>
      <x:c r="G23" s="261" t="str">
        <x:f>IF(F23="Sim","Término posterior ao início do atendimento seguinte","")</x:f>
      </x:c>
      <x:c r="H23" s="258" t="n">
        <x:f>IF(D23&lt;&gt;"",MAX(0,B24-D23),"")</x:f>
        <x:v>0.0006944444394321181</x:v>
      </x:c>
    </x:row>
    <x:row r="24">
      <x:c r="A24" s="238" t="str">
        <x:v>Paciente 16</x:v>
      </x:c>
      <x:c r="B24" s="251" t="n">
        <x:v>46219.72222222222</x:v>
      </x:c>
      <x:c r="C24" s="252" t="n">
        <x:f>IF(D24&lt;&gt;"",D24-B24,"")</x:f>
        <x:v>0.006250000005820766</x:v>
      </x:c>
      <x:c r="D24" s="251" t="n">
        <x:v>46219.728472222225</x:v>
      </x:c>
      <x:c r="E24" s="252" t="str">
        <x:f>IF(F24="Sim",B25-B24,"")</x:f>
      </x:c>
      <x:c r="F24" s="253" t="str">
        <x:f>IF(AND(D24&lt;&gt;"",D24&gt;B25),"Sim","Não")</x:f>
        <x:v>Não</x:v>
      </x:c>
      <x:c r="G24" s="261" t="str">
        <x:f>IF(F24="Sim","Término posterior ao início do atendimento seguinte","")</x:f>
      </x:c>
      <x:c r="H24" s="258" t="n">
        <x:f>IF(D24&lt;&gt;"",MAX(0,B25-D24),"")</x:f>
        <x:v>0</x:v>
      </x:c>
    </x:row>
    <x:row r="25">
      <x:c r="A25" s="238" t="str">
        <x:v>Paciente 17</x:v>
      </x:c>
      <x:c r="B25" s="251" t="n">
        <x:v>46219.728472222225</x:v>
      </x:c>
      <x:c r="C25" s="252" t="n">
        <x:f>IF(D25&lt;&gt;"",D25-B25,"")</x:f>
        <x:v>0.004166666665696539</x:v>
      </x:c>
      <x:c r="D25" s="251" t="n">
        <x:v>46219.73263888889</x:v>
      </x:c>
      <x:c r="E25" s="252" t="str">
        <x:f>IF(F25="Sim",B26-B25,"")</x:f>
      </x:c>
      <x:c r="F25" s="253" t="str">
        <x:f>IF(AND(D25&lt;&gt;"",D25&gt;B26),"Sim","Não")</x:f>
        <x:v>Não</x:v>
      </x:c>
      <x:c r="G25" s="261" t="str">
        <x:f>IF(F25="Sim","Término posterior ao início do atendimento seguinte","")</x:f>
      </x:c>
      <x:c r="H25" s="258" t="n">
        <x:f>IF(D25&lt;&gt;"",MAX(0,B26-D25),"")</x:f>
        <x:v>0.0006944444394321181</x:v>
      </x:c>
    </x:row>
    <x:row r="26">
      <x:c r="A26" s="238" t="str">
        <x:v>Paciente 18</x:v>
      </x:c>
      <x:c r="B26" s="251" t="n">
        <x:v>46219.73333333333</x:v>
      </x:c>
      <x:c r="C26" s="252" t="n">
        <x:f>IF(D26&lt;&gt;"",D26-B26,"")</x:f>
        <x:v>0.002777777779556345</x:v>
      </x:c>
      <x:c r="D26" s="251" t="n">
        <x:v>46219.73611111111</x:v>
      </x:c>
      <x:c r="E26" s="252" t="str">
        <x:f>IF(F26="Sim",B27-B26,"")</x:f>
      </x:c>
      <x:c r="F26" s="253" t="str">
        <x:f>IF(AND(D26&lt;&gt;"",D26&gt;B27),"Sim","Não")</x:f>
        <x:v>Não</x:v>
      </x:c>
      <x:c r="G26" s="261" t="str">
        <x:f>IF(F26="Sim","Término posterior ao início do atendimento seguinte","")</x:f>
      </x:c>
      <x:c r="H26" s="258" t="n">
        <x:f>IF(D26&lt;&gt;"",MAX(0,B27-D26),"")</x:f>
        <x:v>0.0006944444467080757</x:v>
      </x:c>
    </x:row>
    <x:row r="27">
      <x:c r="A27" s="243" t="str">
        <x:v>Paciente 19</x:v>
      </x:c>
      <x:c r="B27" s="254" t="n">
        <x:v>46219.736805555556</x:v>
      </x:c>
      <x:c r="C27" s="255" t="n">
        <x:f>IF(D27&lt;&gt;"",D27-B27,"")</x:f>
        <x:v>0.005555555551836733</x:v>
      </x:c>
      <x:c r="D27" s="254" t="n">
        <x:v>46219.74236111111</x:v>
      </x:c>
      <x:c r="E27" s="255"/>
      <x:c r="F27" s="256" t="str">
        <x:v>Não</x:v>
      </x:c>
      <x:c r="G27" s="262" t="str"/>
      <x:c r="H27" s="259"/>
    </x:row>
  </x:sheetData>
  <x:mergeCells>
    <x:mergeCell ref="A1:H1"/>
    <x:mergeCell ref="B2:H2"/>
    <x:mergeCell ref="B3:H3"/>
    <x:mergeCell ref="B4:H4"/>
    <x:mergeCell ref="A6:H6"/>
  </x:mergeCells>
  <x:conditionalFormatting sqref="A9:H27">
    <x:cfRule type="expression" dxfId="9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e997b37b444bd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211" t="str">
        <x:v>ANÁLISE DE ATENDIMENTOS - ORTOPEDIA E TRAUMATOLOGIA</x:v>
      </x:c>
      <x:c r="B1" s="211"/>
      <x:c r="C1" s="211"/>
      <x:c r="D1" s="211"/>
      <x:c r="E1" s="211"/>
      <x:c r="F1" s="211"/>
      <x:c r="G1" s="211"/>
      <x:c r="H1" s="211"/>
    </x:row>
    <x:row r="2">
      <x:c r="A2" s="213" t="str">
        <x:v>Médico</x:v>
      </x:c>
      <x:c r="B2" t="str">
        <x:v>Vinicius Santos Lima</x:v>
      </x:c>
    </x:row>
    <x:row r="3">
      <x:c r="A3" s="213" t="str">
        <x:v>Especialidade</x:v>
      </x:c>
      <x:c r="B3" t="str">
        <x:v>Ortopedia e Traumatologia</x:v>
      </x:c>
    </x:row>
    <x:row r="4">
      <x:c r="A4" s="213" t="str">
        <x:v>Data</x:v>
      </x:c>
      <x:c r="B4" s="45" t="n">
        <x:v>46219</x:v>
      </x:c>
    </x:row>
    <x:row r="6" ht="38" customHeight="1">
      <x:c r="A6" s="217" t="str">
        <x:v>Nos casos de sobreposição, o tempo real é calculado pelo início do atendimento seguinte menos o início do atendimento atual.</x:v>
      </x:c>
      <x:c r="B6" s="217"/>
      <x:c r="C6" s="217"/>
      <x:c r="D6" s="217"/>
      <x:c r="E6" s="217"/>
      <x:c r="F6" s="217"/>
      <x:c r="G6" s="217"/>
      <x:c r="H6" s="217"/>
    </x:row>
    <x:row r="7" ht="42" customHeight="1">
      <x:c r="A7" s="226" t="n">
        <x:f>COUNTA(A9:A24)</x:f>
        <x:v>16</x:v>
      </x:c>
      <x:c r="B7" s="227" t="n">
        <x:f>IFERROR(AVERAGE(C9:C24),"")</x:f>
        <x:v>0.010370370370219461</x:v>
      </x:c>
      <x:c r="C7" s="227" t="n">
        <x:f>IFERROR(MAX(C9:C24),"")</x:f>
        <x:v>0.03958333333139308</x:v>
      </x:c>
      <x:c r="D7" s="226" t="n">
        <x:f>COUNTIF(F9:F24,"Sim")</x:f>
        <x:v>4</x:v>
      </x:c>
      <x:c r="E7" s="227" t="n">
        <x:f>IFERROR(MAX(H9:H24),"")</x:f>
        <x:v>0.018750000002910383</x:v>
      </x:c>
      <x:c r="F7" s="227" t="n">
        <x:f>SUM(C9:C24)</x:f>
        <x:v>0.15555555555329192</x:v>
      </x:c>
      <x:c r="G7" s="227" t="n">
        <x:f>SUM(E9:E24)</x:f>
        <x:v>0.029861111113859806</x:v>
      </x:c>
      <x:c r="H7" s="226" t="n">
        <x:f>COUNT(E9:E24)</x:f>
        <x:v>4</x:v>
      </x:c>
    </x:row>
    <x:row r="8" ht="48" customHeight="1">
      <x:c r="A8" s="232" t="str">
        <x:v>Nome fila</x:v>
      </x:c>
      <x:c r="B8" s="232" t="str">
        <x:v>Início do atendimento</x:v>
      </x:c>
      <x:c r="C8" s="232" t="str">
        <x:v>Tempo de atendimento pelo sistema</x:v>
      </x:c>
      <x:c r="D8" s="232" t="str">
        <x:v>Término do atendimento</x:v>
      </x:c>
      <x:c r="E8" s="232" t="str">
        <x:v>Tempo de atendimento real</x:v>
      </x:c>
      <x:c r="F8" s="232" t="str">
        <x:v>Sobreposição identificada</x:v>
      </x:c>
      <x:c r="G8" s="232" t="str">
        <x:v>Observação</x:v>
      </x:c>
      <x:c r="H8" s="232" t="str">
        <x:v>Intervalo até o próximo atendimento</x:v>
      </x:c>
    </x:row>
    <x:row r="9">
      <x:c r="A9" s="233" t="str">
        <x:v>Paciente 1</x:v>
      </x:c>
      <x:c r="B9" s="248" t="n">
        <x:v>46219.35486111111</x:v>
      </x:c>
      <x:c r="C9" s="249" t="n">
        <x:f>IF(D9&lt;&gt;"",D9-B9,"")</x:f>
        <x:v>0.03958333333139308</x:v>
      </x:c>
      <x:c r="D9" s="248" t="n">
        <x:v>46219.39444444444</x:v>
      </x:c>
      <x:c r="E9" s="249" t="n">
        <x:f>IF(F9="Sim",B10-B9,"")</x:f>
        <x:v>0.0006944444467080757</x:v>
      </x:c>
      <x:c r="F9" s="250" t="str">
        <x:f>IF(AND(D9&lt;&gt;"",D9&gt;B10),"Sim","Não")</x:f>
        <x:v>Sim</x:v>
      </x:c>
      <x:c r="G9" s="260" t="str">
        <x:f>IF(F9="Sim","Término posterior ao início do atendimento seguinte","")</x:f>
        <x:v>Término posterior ao início do atendimento seguinte</x:v>
      </x:c>
      <x:c r="H9" s="257" t="n">
        <x:f>IF(D9&lt;&gt;"",MAX(0,B10-D9),"")</x:f>
        <x:v>0</x:v>
      </x:c>
    </x:row>
    <x:row r="10">
      <x:c r="A10" s="238" t="str">
        <x:v>Paciente 2</x:v>
      </x:c>
      <x:c r="B10" s="251" t="n">
        <x:v>46219.35555555556</x:v>
      </x:c>
      <x:c r="C10" s="252" t="n">
        <x:f>IF(D10&lt;&gt;"",D10-B10,"")</x:f>
        <x:v>0.005555555551836733</x:v>
      </x:c>
      <x:c r="D10" s="251" t="n">
        <x:v>46219.36111111111</x:v>
      </x:c>
      <x:c r="E10" s="252" t="str">
        <x:f>IF(F10="Sim",B11-B10,"")</x:f>
      </x:c>
      <x:c r="F10" s="253" t="str">
        <x:f>IF(AND(D10&lt;&gt;"",D10&gt;B11),"Sim","Não")</x:f>
        <x:v>Não</x:v>
      </x:c>
      <x:c r="G10" s="261" t="str">
        <x:f>IF(F10="Sim","Término posterior ao início do atendimento seguinte","")</x:f>
      </x:c>
      <x:c r="H10" s="258" t="n">
        <x:f>IF(D10&lt;&gt;"",MAX(0,B11-D10),"")</x:f>
        <x:v>0.0006944444467080757</x:v>
      </x:c>
    </x:row>
    <x:row r="11">
      <x:c r="A11" s="238" t="str">
        <x:v>Paciente 3</x:v>
      </x:c>
      <x:c r="B11" s="251" t="n">
        <x:v>46219.361805555556</x:v>
      </x:c>
      <x:c r="C11" s="252" t="n">
        <x:f>IF(D11&lt;&gt;"",D11-B11,"")</x:f>
        <x:v>0.007638888884685002</x:v>
      </x:c>
      <x:c r="D11" s="251" t="n">
        <x:v>46219.36944444444</x:v>
      </x:c>
      <x:c r="E11" s="252" t="str">
        <x:f>IF(F11="Sim",B12-B11,"")</x:f>
      </x:c>
      <x:c r="F11" s="253" t="str">
        <x:f>IF(AND(D11&lt;&gt;"",D11&gt;B12),"Sim","Não")</x:f>
        <x:v>Não</x:v>
      </x:c>
      <x:c r="G11" s="261" t="str">
        <x:f>IF(F11="Sim","Término posterior ao início do atendimento seguinte","")</x:f>
      </x:c>
      <x:c r="H11" s="258" t="n">
        <x:f>IF(D11&lt;&gt;"",MAX(0,B12-D11),"")</x:f>
        <x:v>0.0006944444467080757</x:v>
      </x:c>
    </x:row>
    <x:row r="12">
      <x:c r="A12" s="238" t="str">
        <x:v>Paciente 4</x:v>
      </x:c>
      <x:c r="B12" s="251" t="n">
        <x:v>46219.37013888889</x:v>
      </x:c>
      <x:c r="C12" s="252" t="n">
        <x:f>IF(D12&lt;&gt;"",D12-B12,"")</x:f>
        <x:v>0.010416666671517305</x:v>
      </x:c>
      <x:c r="D12" s="251" t="n">
        <x:v>46219.38055555556</x:v>
      </x:c>
      <x:c r="E12" s="252" t="str">
        <x:f>IF(F12="Sim",B13-B12,"")</x:f>
      </x:c>
      <x:c r="F12" s="253" t="str">
        <x:f>IF(AND(D12&lt;&gt;"",D12&gt;B13),"Sim","Não")</x:f>
        <x:v>Não</x:v>
      </x:c>
      <x:c r="G12" s="261" t="str">
        <x:f>IF(F12="Sim","Término posterior ao início do atendimento seguinte","")</x:f>
      </x:c>
      <x:c r="H12" s="258" t="n">
        <x:f>IF(D12&lt;&gt;"",MAX(0,B13-D12),"")</x:f>
        <x:v>0.0006944444394321181</x:v>
      </x:c>
    </x:row>
    <x:row r="13">
      <x:c r="A13" s="238" t="str">
        <x:v>Paciente 5</x:v>
      </x:c>
      <x:c r="B13" s="251" t="n">
        <x:v>46219.38125</x:v>
      </x:c>
      <x:c r="C13" s="252" t="n">
        <x:f>IF(D13&lt;&gt;"",D13-B13,"")</x:f>
        <x:v>0.004166666665696539</x:v>
      </x:c>
      <x:c r="D13" s="251" t="n">
        <x:v>46219.385416666664</x:v>
      </x:c>
      <x:c r="E13" s="252" t="str">
        <x:f>IF(F13="Sim",B14-B13,"")</x:f>
      </x:c>
      <x:c r="F13" s="253" t="str">
        <x:f>IF(AND(D13&lt;&gt;"",D13&gt;B14),"Sim","Não")</x:f>
        <x:v>Não</x:v>
      </x:c>
      <x:c r="G13" s="261" t="str">
        <x:f>IF(F13="Sim","Término posterior ao início do atendimento seguinte","")</x:f>
      </x:c>
      <x:c r="H13" s="258" t="n">
        <x:f>IF(D13&lt;&gt;"",MAX(0,B14-D13),"")</x:f>
        <x:v>0</x:v>
      </x:c>
    </x:row>
    <x:row r="14">
      <x:c r="A14" s="238" t="str">
        <x:v>Paciente 6</x:v>
      </x:c>
      <x:c r="B14" s="251" t="n">
        <x:v>46219.385416666664</x:v>
      </x:c>
      <x:c r="C14" s="252" t="n">
        <x:f>IF(D14&lt;&gt;"",D14-B14,"")</x:f>
        <x:v>0.004861111112404615</x:v>
      </x:c>
      <x:c r="D14" s="251" t="n">
        <x:v>46219.39027777778</x:v>
      </x:c>
      <x:c r="E14" s="252" t="str">
        <x:f>IF(F14="Sim",B15-B14,"")</x:f>
      </x:c>
      <x:c r="F14" s="253" t="str">
        <x:f>IF(AND(D14&lt;&gt;"",D14&gt;B15),"Sim","Não")</x:f>
        <x:v>Não</x:v>
      </x:c>
      <x:c r="G14" s="261" t="str">
        <x:f>IF(F14="Sim","Término posterior ao início do atendimento seguinte","")</x:f>
      </x:c>
      <x:c r="H14" s="258" t="n">
        <x:f>IF(D14&lt;&gt;"",MAX(0,B15-D14),"")</x:f>
        <x:v>0.004166666665696539</x:v>
      </x:c>
    </x:row>
    <x:row r="15">
      <x:c r="A15" s="238" t="str">
        <x:v>Paciente 7</x:v>
      </x:c>
      <x:c r="B15" s="251" t="n">
        <x:v>46219.39444444444</x:v>
      </x:c>
      <x:c r="C15" s="252" t="n">
        <x:f>IF(D15&lt;&gt;"",D15-B15,"")</x:f>
        <x:v>0.013194444443797693</x:v>
      </x:c>
      <x:c r="D15" s="251" t="n">
        <x:v>46219.407638888886</x:v>
      </x:c>
      <x:c r="E15" s="252" t="str">
        <x:f>IF(F15="Sim",B16-B15,"")</x:f>
      </x:c>
      <x:c r="F15" s="253" t="str">
        <x:f>IF(AND(D15&lt;&gt;"",D15&gt;B16),"Sim","Não")</x:f>
        <x:v>Não</x:v>
      </x:c>
      <x:c r="G15" s="261" t="str">
        <x:f>IF(F15="Sim","Término posterior ao início do atendimento seguinte","")</x:f>
      </x:c>
      <x:c r="H15" s="258" t="n">
        <x:f>IF(D15&lt;&gt;"",MAX(0,B16-D15),"")</x:f>
        <x:v>0.0006944444467080757</x:v>
      </x:c>
    </x:row>
    <x:row r="16">
      <x:c r="A16" s="238" t="str">
        <x:v>Paciente 8</x:v>
      </x:c>
      <x:c r="B16" s="251" t="n">
        <x:v>46219.40833333333</x:v>
      </x:c>
      <x:c r="C16" s="252" t="n">
        <x:f>IF(D16&lt;&gt;"",D16-B16,"")</x:f>
        <x:v>0.004166666665696539</x:v>
      </x:c>
      <x:c r="D16" s="251" t="n">
        <x:v>46219.4125</x:v>
      </x:c>
      <x:c r="E16" s="252" t="str">
        <x:f>IF(F16="Sim",B17-B16,"")</x:f>
      </x:c>
      <x:c r="F16" s="253" t="str">
        <x:f>IF(AND(D16&lt;&gt;"",D16&gt;B17),"Sim","Não")</x:f>
        <x:v>Não</x:v>
      </x:c>
      <x:c r="G16" s="261" t="str">
        <x:f>IF(F16="Sim","Término posterior ao início do atendimento seguinte","")</x:f>
      </x:c>
      <x:c r="H16" s="258" t="n">
        <x:f>IF(D16&lt;&gt;"",MAX(0,B17-D16),"")</x:f>
        <x:v>0.018750000002910383</x:v>
      </x:c>
    </x:row>
    <x:row r="17">
      <x:c r="A17" s="238" t="str">
        <x:v>Paciente 9</x:v>
      </x:c>
      <x:c r="B17" s="251" t="n">
        <x:v>46219.43125</x:v>
      </x:c>
      <x:c r="C17" s="252" t="n">
        <x:f>IF(D17&lt;&gt;"",D17-B17,"")</x:f>
        <x:v>0.004166666665696539</x:v>
      </x:c>
      <x:c r="D17" s="251" t="n">
        <x:v>46219.43541666667</x:v>
      </x:c>
      <x:c r="E17" s="252" t="str">
        <x:f>IF(F17="Sim",B18-B17,"")</x:f>
      </x:c>
      <x:c r="F17" s="253" t="str">
        <x:f>IF(AND(D17&lt;&gt;"",D17&gt;B18),"Sim","Não")</x:f>
        <x:v>Não</x:v>
      </x:c>
      <x:c r="G17" s="261" t="str">
        <x:f>IF(F17="Sim","Término posterior ao início do atendimento seguinte","")</x:f>
      </x:c>
      <x:c r="H17" s="258" t="n">
        <x:f>IF(D17&lt;&gt;"",MAX(0,B18-D17),"")</x:f>
        <x:v>0</x:v>
      </x:c>
    </x:row>
    <x:row r="18">
      <x:c r="A18" s="238" t="str">
        <x:v>Paciente 10</x:v>
      </x:c>
      <x:c r="B18" s="251" t="n">
        <x:v>46219.43541666667</x:v>
      </x:c>
      <x:c r="C18" s="252" t="n">
        <x:f>IF(D18&lt;&gt;"",D18-B18,"")</x:f>
        <x:v>0.0020833333328482695</x:v>
      </x:c>
      <x:c r="D18" s="251" t="n">
        <x:v>46219.4375</x:v>
      </x:c>
      <x:c r="E18" s="252" t="str">
        <x:f>IF(F18="Sim",B19-B18,"")</x:f>
      </x:c>
      <x:c r="F18" s="253" t="str">
        <x:f>IF(AND(D18&lt;&gt;"",D18&gt;B19),"Sim","Não")</x:f>
        <x:v>Não</x:v>
      </x:c>
      <x:c r="G18" s="261" t="str">
        <x:f>IF(F18="Sim","Término posterior ao início do atendimento seguinte","")</x:f>
      </x:c>
      <x:c r="H18" s="258" t="n">
        <x:f>IF(D18&lt;&gt;"",MAX(0,B19-D18),"")</x:f>
        <x:v>0</x:v>
      </x:c>
    </x:row>
    <x:row r="19">
      <x:c r="A19" s="238" t="str">
        <x:v>Paciente 11</x:v>
      </x:c>
      <x:c r="B19" s="251" t="n">
        <x:v>46219.4375</x:v>
      </x:c>
      <x:c r="C19" s="252" t="n">
        <x:f>IF(D19&lt;&gt;"",D19-B19,"")</x:f>
        <x:v>0.00555555555911269</x:v>
      </x:c>
      <x:c r="D19" s="251" t="n">
        <x:v>46219.44305555556</x:v>
      </x:c>
      <x:c r="E19" s="252" t="str">
        <x:f>IF(F19="Sim",B20-B19,"")</x:f>
      </x:c>
      <x:c r="F19" s="253" t="str">
        <x:f>IF(AND(D19&lt;&gt;"",D19&gt;B20),"Sim","Não")</x:f>
        <x:v>Não</x:v>
      </x:c>
      <x:c r="G19" s="261" t="str">
        <x:f>IF(F19="Sim","Término posterior ao início do atendimento seguinte","")</x:f>
      </x:c>
      <x:c r="H19" s="258" t="n">
        <x:f>IF(D19&lt;&gt;"",MAX(0,B20-D19),"")</x:f>
        <x:v>0.0006944444394321181</x:v>
      </x:c>
    </x:row>
    <x:row r="20">
      <x:c r="A20" s="238" t="str">
        <x:v>Paciente 12</x:v>
      </x:c>
      <x:c r="B20" s="251" t="n">
        <x:v>46219.44375</x:v>
      </x:c>
      <x:c r="C20" s="252" t="n">
        <x:f>IF(D20&lt;&gt;"",D20-B20,"")</x:f>
        <x:v>0.004861111112404615</x:v>
      </x:c>
      <x:c r="D20" s="251" t="n">
        <x:v>46219.44861111111</x:v>
      </x:c>
      <x:c r="E20" s="252" t="str">
        <x:f>IF(F20="Sim",B21-B20,"")</x:f>
      </x:c>
      <x:c r="F20" s="253" t="str">
        <x:f>IF(AND(D20&lt;&gt;"",D20&gt;B21),"Sim","Não")</x:f>
        <x:v>Não</x:v>
      </x:c>
      <x:c r="G20" s="261" t="str">
        <x:f>IF(F20="Sim","Término posterior ao início do atendimento seguinte","")</x:f>
      </x:c>
      <x:c r="H20" s="258" t="n">
        <x:f>IF(D20&lt;&gt;"",MAX(0,B21-D20),"")</x:f>
        <x:v>0.0006944444467080757</x:v>
      </x:c>
    </x:row>
    <x:row r="21">
      <x:c r="A21" s="238" t="str">
        <x:v>Paciente 13</x:v>
      </x:c>
      <x:c r="B21" s="251" t="n">
        <x:v>46219.44930555556</x:v>
      </x:c>
      <x:c r="C21" s="252" t="n">
        <x:f>IF(D21&lt;&gt;"",D21-B21,"")</x:f>
        <x:v>0.0194444444423425</x:v>
      </x:c>
      <x:c r="D21" s="251" t="n">
        <x:v>46219.46875</x:v>
      </x:c>
      <x:c r="E21" s="252" t="n">
        <x:f>IF(F21="Sim",B22-B21,"")</x:f>
        <x:v>0.011805555550381541</x:v>
      </x:c>
      <x:c r="F21" s="253" t="str">
        <x:f>IF(AND(D21&lt;&gt;"",D21&gt;B22),"Sim","Não")</x:f>
        <x:v>Sim</x:v>
      </x:c>
      <x:c r="G21" s="261" t="str">
        <x:f>IF(F21="Sim","Término posterior ao início do atendimento seguinte","")</x:f>
        <x:v>Término posterior ao início do atendimento seguinte</x:v>
      </x:c>
      <x:c r="H21" s="258" t="n">
        <x:f>IF(D21&lt;&gt;"",MAX(0,B22-D21),"")</x:f>
        <x:v>0</x:v>
      </x:c>
    </x:row>
    <x:row r="22">
      <x:c r="A22" s="238" t="str">
        <x:v>Paciente 14</x:v>
      </x:c>
      <x:c r="B22" s="251" t="n">
        <x:v>46219.46111111111</x:v>
      </x:c>
      <x:c r="C22" s="252" t="n">
        <x:f>IF(D22&lt;&gt;"",D22-B22,"")</x:f>
        <x:v>0.016666666670062114</x:v>
      </x:c>
      <x:c r="D22" s="251" t="n">
        <x:v>46219.47777777778</x:v>
      </x:c>
      <x:c r="E22" s="252" t="n">
        <x:f>IF(F22="Sim",B23-B22,"")</x:f>
        <x:v>0.008333333338669036</x:v>
      </x:c>
      <x:c r="F22" s="253" t="str">
        <x:f>IF(AND(D22&lt;&gt;"",D22&gt;B23),"Sim","Não")</x:f>
        <x:v>Sim</x:v>
      </x:c>
      <x:c r="G22" s="261" t="str">
        <x:f>IF(F22="Sim","Término posterior ao início do atendimento seguinte","")</x:f>
        <x:v>Término posterior ao início do atendimento seguinte</x:v>
      </x:c>
      <x:c r="H22" s="258" t="n">
        <x:f>IF(D22&lt;&gt;"",MAX(0,B23-D22),"")</x:f>
        <x:v>0</x:v>
      </x:c>
    </x:row>
    <x:row r="23">
      <x:c r="A23" s="238" t="str">
        <x:v>Paciente 15</x:v>
      </x:c>
      <x:c r="B23" s="251" t="n">
        <x:v>46219.46944444445</x:v>
      </x:c>
      <x:c r="C23" s="252" t="n">
        <x:f>IF(D23&lt;&gt;"",D23-B23,"")</x:f>
        <x:v>0.013194444443797693</x:v>
      </x:c>
      <x:c r="D23" s="251" t="n">
        <x:v>46219.48263888889</x:v>
      </x:c>
      <x:c r="E23" s="252" t="n">
        <x:f>IF(F23="Sim",B24-B23,"")</x:f>
        <x:v>0.009027777778101154</x:v>
      </x:c>
      <x:c r="F23" s="253" t="str">
        <x:f>IF(AND(D23&lt;&gt;"",D23&gt;B24),"Sim","Não")</x:f>
        <x:v>Sim</x:v>
      </x:c>
      <x:c r="G23" s="261" t="str">
        <x:f>IF(F23="Sim","Término posterior ao início do atendimento seguinte","")</x:f>
        <x:v>Término posterior ao início do atendimento seguinte</x:v>
      </x:c>
      <x:c r="H23" s="258" t="n">
        <x:f>IF(D23&lt;&gt;"",MAX(0,B24-D23),"")</x:f>
        <x:v>0</x:v>
      </x:c>
    </x:row>
    <x:row r="24">
      <x:c r="A24" s="243" t="str">
        <x:v>Paciente 16</x:v>
      </x:c>
      <x:c r="B24" s="254" t="n">
        <x:v>46219.478472222225</x:v>
      </x:c>
      <x:c r="C24" s="255" t="str">
        <x:f>IF(D24&lt;&gt;"",D24-B24,"")</x:f>
      </x:c>
      <x:c r="D24" s="254"/>
      <x:c r="E24" s="255"/>
      <x:c r="F24" s="256" t="str">
        <x:v>Não</x:v>
      </x:c>
      <x:c r="G24" s="262" t="str">
        <x:v>Sem horário de término no relatório</x:v>
      </x:c>
      <x:c r="H24" s="259"/>
    </x:row>
  </x:sheetData>
  <x:mergeCells>
    <x:mergeCell ref="A1:H1"/>
    <x:mergeCell ref="B2:H2"/>
    <x:mergeCell ref="B3:H3"/>
    <x:mergeCell ref="B4:H4"/>
    <x:mergeCell ref="A6:H6"/>
  </x:mergeCells>
  <x:conditionalFormatting sqref="A9:H24">
    <x:cfRule type="expression" dxfId="10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465e9fe2e4421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211" t="str">
        <x:v>ANÁLISE DE ATENDIMENTOS - GINECOLOGIA CLÍNICA / OBSTETRÍCIA</x:v>
      </x:c>
      <x:c r="B1" s="211"/>
      <x:c r="C1" s="211"/>
      <x:c r="D1" s="211"/>
      <x:c r="E1" s="211"/>
      <x:c r="F1" s="211"/>
      <x:c r="G1" s="211"/>
      <x:c r="H1" s="211"/>
    </x:row>
    <x:row r="2">
      <x:c r="A2" s="213" t="str">
        <x:v>Médico</x:v>
      </x:c>
      <x:c r="B2" t="str">
        <x:v>Fernanda Ferreira D</x:v>
      </x:c>
    </x:row>
    <x:row r="3">
      <x:c r="A3" s="213" t="str">
        <x:v>Especialidade</x:v>
      </x:c>
      <x:c r="B3" t="str">
        <x:v>Ginecologia Clínica / Obstetrícia</x:v>
      </x:c>
    </x:row>
    <x:row r="4">
      <x:c r="A4" s="213" t="str">
        <x:v>Data</x:v>
      </x:c>
      <x:c r="B4" s="45" t="n">
        <x:v>46219</x:v>
      </x:c>
    </x:row>
    <x:row r="6" ht="38" customHeight="1">
      <x:c r="A6" s="217" t="str">
        <x:v>Nos casos de sobreposição, o tempo real é calculado pelo início do atendimento seguinte menos o início do atendimento atual.</x:v>
      </x:c>
      <x:c r="B6" s="217"/>
      <x:c r="C6" s="217"/>
      <x:c r="D6" s="217"/>
      <x:c r="E6" s="217"/>
      <x:c r="F6" s="217"/>
      <x:c r="G6" s="217"/>
      <x:c r="H6" s="217"/>
    </x:row>
    <x:row r="7" ht="42" customHeight="1">
      <x:c r="A7" s="226" t="n">
        <x:f>COUNTA(A9:A40)</x:f>
        <x:v>32</x:v>
      </x:c>
      <x:c r="B7" s="227" t="n">
        <x:f>IFERROR(AVERAGE(C9:C40),"")</x:f>
        <x:v>0.005468749999181455</x:v>
      </x:c>
      <x:c r="C7" s="227" t="n">
        <x:f>IFERROR(MAX(C9:C40),"")</x:f>
        <x:v>0.009722222217533272</x:v>
      </x:c>
      <x:c r="D7" s="226" t="n">
        <x:f>COUNTIF(F9:F40,"Sim")</x:f>
        <x:v>0</x:v>
      </x:c>
      <x:c r="E7" s="227" t="n">
        <x:f>IFERROR(MAX(H9:H40),"")</x:f>
        <x:v>0.027777777781011537</x:v>
      </x:c>
      <x:c r="F7" s="227" t="n">
        <x:f>SUM(C9:C40)</x:f>
        <x:v>0.17499999997380655</x:v>
      </x:c>
      <x:c r="G7" s="227" t="n">
        <x:f>SUM(E9:E40)</x:f>
        <x:v>0</x:v>
      </x:c>
      <x:c r="H7" s="226" t="n">
        <x:f>COUNT(E9:E40)</x:f>
        <x:v>0</x:v>
      </x:c>
    </x:row>
    <x:row r="8" ht="48" customHeight="1">
      <x:c r="A8" s="232" t="str">
        <x:v>Nome fila</x:v>
      </x:c>
      <x:c r="B8" s="232" t="str">
        <x:v>Início do atendimento</x:v>
      </x:c>
      <x:c r="C8" s="232" t="str">
        <x:v>Tempo de atendimento pelo sistema</x:v>
      </x:c>
      <x:c r="D8" s="232" t="str">
        <x:v>Término do atendimento</x:v>
      </x:c>
      <x:c r="E8" s="232" t="str">
        <x:v>Tempo de atendimento real</x:v>
      </x:c>
      <x:c r="F8" s="232" t="str">
        <x:v>Sobreposição identificada</x:v>
      </x:c>
      <x:c r="G8" s="232" t="str">
        <x:v>Observação</x:v>
      </x:c>
      <x:c r="H8" s="232" t="str">
        <x:v>Intervalo até o próximo atendimento</x:v>
      </x:c>
    </x:row>
    <x:row r="9">
      <x:c r="A9" s="233" t="str">
        <x:v>Paciente 1</x:v>
      </x:c>
      <x:c r="B9" s="248" t="n">
        <x:v>46219.37777777778</x:v>
      </x:c>
      <x:c r="C9" s="249" t="n">
        <x:f>IF(D9&lt;&gt;"",D9-B9,"")</x:f>
        <x:v>0.005555555551836733</x:v>
      </x:c>
      <x:c r="D9" s="248" t="n">
        <x:v>46219.38333333333</x:v>
      </x:c>
      <x:c r="E9" s="249" t="str">
        <x:f>IF(F9="Sim",B10-B9,"")</x:f>
      </x:c>
      <x:c r="F9" s="250" t="str">
        <x:f>IF(AND(D9&lt;&gt;"",D9&gt;B10),"Sim","Não")</x:f>
        <x:v>Não</x:v>
      </x:c>
      <x:c r="G9" s="260" t="str">
        <x:f>IF(F9="Sim","Término posterior ao início do atendimento seguinte","")</x:f>
      </x:c>
      <x:c r="H9" s="257" t="n">
        <x:f>IF(D9&lt;&gt;"",MAX(0,B10-D9),"")</x:f>
        <x:v>0.0013888888934161514</x:v>
      </x:c>
    </x:row>
    <x:row r="10">
      <x:c r="A10" s="238" t="str">
        <x:v>Paciente 2</x:v>
      </x:c>
      <x:c r="B10" s="251" t="n">
        <x:v>46219.384722222225</x:v>
      </x:c>
      <x:c r="C10" s="252" t="n">
        <x:f>IF(D10&lt;&gt;"",D10-B10,"")</x:f>
        <x:v>0.006944444445252884</x:v>
      </x:c>
      <x:c r="D10" s="251" t="n">
        <x:v>46219.39166666667</x:v>
      </x:c>
      <x:c r="E10" s="252" t="str">
        <x:f>IF(F10="Sim",B11-B10,"")</x:f>
      </x:c>
      <x:c r="F10" s="253" t="str">
        <x:f>IF(AND(D10&lt;&gt;"",D10&gt;B11),"Sim","Não")</x:f>
        <x:v>Não</x:v>
      </x:c>
      <x:c r="G10" s="261" t="str">
        <x:f>IF(F10="Sim","Término posterior ao início do atendimento seguinte","")</x:f>
      </x:c>
      <x:c r="H10" s="258" t="n">
        <x:f>IF(D10&lt;&gt;"",MAX(0,B11-D10),"")</x:f>
        <x:v>0</x:v>
      </x:c>
    </x:row>
    <x:row r="11">
      <x:c r="A11" s="238" t="str">
        <x:v>Paciente 3</x:v>
      </x:c>
      <x:c r="B11" s="251" t="n">
        <x:v>46219.39166666667</x:v>
      </x:c>
      <x:c r="C11" s="252" t="n">
        <x:f>IF(D11&lt;&gt;"",D11-B11,"")</x:f>
        <x:v>0.005555555551836733</x:v>
      </x:c>
      <x:c r="D11" s="251" t="n">
        <x:v>46219.39722222222</x:v>
      </x:c>
      <x:c r="E11" s="252" t="str">
        <x:f>IF(F11="Sim",B12-B11,"")</x:f>
      </x:c>
      <x:c r="F11" s="253" t="str">
        <x:f>IF(AND(D11&lt;&gt;"",D11&gt;B12),"Sim","Não")</x:f>
        <x:v>Não</x:v>
      </x:c>
      <x:c r="G11" s="261" t="str">
        <x:f>IF(F11="Sim","Término posterior ao início do atendimento seguinte","")</x:f>
      </x:c>
      <x:c r="H11" s="258" t="n">
        <x:f>IF(D11&lt;&gt;"",MAX(0,B12-D11),"")</x:f>
        <x:v>0</x:v>
      </x:c>
    </x:row>
    <x:row r="12">
      <x:c r="A12" s="238" t="str">
        <x:v>Paciente 4</x:v>
      </x:c>
      <x:c r="B12" s="251" t="n">
        <x:v>46219.39722222222</x:v>
      </x:c>
      <x:c r="C12" s="252" t="n">
        <x:f>IF(D12&lt;&gt;"",D12-B12,"")</x:f>
        <x:v>0.00763888889196096</x:v>
      </x:c>
      <x:c r="D12" s="251" t="n">
        <x:v>46219.404861111114</x:v>
      </x:c>
      <x:c r="E12" s="252" t="str">
        <x:f>IF(F12="Sim",B13-B12,"")</x:f>
      </x:c>
      <x:c r="F12" s="253" t="str">
        <x:f>IF(AND(D12&lt;&gt;"",D12&gt;B13),"Sim","Não")</x:f>
        <x:v>Não</x:v>
      </x:c>
      <x:c r="G12" s="261" t="str">
        <x:f>IF(F12="Sim","Término posterior ao início do atendimento seguinte","")</x:f>
      </x:c>
      <x:c r="H12" s="258" t="n">
        <x:f>IF(D12&lt;&gt;"",MAX(0,B13-D12),"")</x:f>
        <x:v>0</x:v>
      </x:c>
    </x:row>
    <x:row r="13">
      <x:c r="A13" s="238" t="str">
        <x:v>Paciente 5</x:v>
      </x:c>
      <x:c r="B13" s="251" t="n">
        <x:v>46219.404861111114</x:v>
      </x:c>
      <x:c r="C13" s="252" t="n">
        <x:f>IF(D13&lt;&gt;"",D13-B13,"")</x:f>
        <x:v>0.004166666665696539</x:v>
      </x:c>
      <x:c r="D13" s="251" t="n">
        <x:v>46219.40902777778</x:v>
      </x:c>
      <x:c r="E13" s="252" t="str">
        <x:f>IF(F13="Sim",B14-B13,"")</x:f>
      </x:c>
      <x:c r="F13" s="253" t="str">
        <x:f>IF(AND(D13&lt;&gt;"",D13&gt;B14),"Sim","Não")</x:f>
        <x:v>Não</x:v>
      </x:c>
      <x:c r="G13" s="261" t="str">
        <x:f>IF(F13="Sim","Término posterior ao início do atendimento seguinte","")</x:f>
      </x:c>
      <x:c r="H13" s="258" t="n">
        <x:f>IF(D13&lt;&gt;"",MAX(0,B14-D13),"")</x:f>
        <x:v>0.0020833333328482695</x:v>
      </x:c>
    </x:row>
    <x:row r="14">
      <x:c r="A14" s="238" t="str">
        <x:v>Paciente 6</x:v>
      </x:c>
      <x:c r="B14" s="251" t="n">
        <x:v>46219.41111111111</x:v>
      </x:c>
      <x:c r="C14" s="252" t="n">
        <x:f>IF(D14&lt;&gt;"",D14-B14,"")</x:f>
        <x:v>0.007638888884685002</x:v>
      </x:c>
      <x:c r="D14" s="251" t="n">
        <x:v>46219.41875</x:v>
      </x:c>
      <x:c r="E14" s="252" t="str">
        <x:f>IF(F14="Sim",B15-B14,"")</x:f>
      </x:c>
      <x:c r="F14" s="253" t="str">
        <x:f>IF(AND(D14&lt;&gt;"",D14&gt;B15),"Sim","Não")</x:f>
        <x:v>Não</x:v>
      </x:c>
      <x:c r="G14" s="261" t="str">
        <x:f>IF(F14="Sim","Término posterior ao início do atendimento seguinte","")</x:f>
      </x:c>
      <x:c r="H14" s="258" t="n">
        <x:f>IF(D14&lt;&gt;"",MAX(0,B15-D14),"")</x:f>
        <x:v>0.004166666672972497</x:v>
      </x:c>
    </x:row>
    <x:row r="15">
      <x:c r="A15" s="238" t="str">
        <x:v>Paciente 7</x:v>
      </x:c>
      <x:c r="B15" s="251" t="n">
        <x:v>46219.42291666667</x:v>
      </x:c>
      <x:c r="C15" s="252" t="n">
        <x:f>IF(D15&lt;&gt;"",D15-B15,"")</x:f>
        <x:v>0.007638888884685002</x:v>
      </x:c>
      <x:c r="D15" s="251" t="n">
        <x:v>46219.430555555555</x:v>
      </x:c>
      <x:c r="E15" s="252" t="str">
        <x:f>IF(F15="Sim",B16-B15,"")</x:f>
      </x:c>
      <x:c r="F15" s="253" t="str">
        <x:f>IF(AND(D15&lt;&gt;"",D15&gt;B16),"Sim","Não")</x:f>
        <x:v>Não</x:v>
      </x:c>
      <x:c r="G15" s="261" t="str">
        <x:f>IF(F15="Sim","Término posterior ao início do atendimento seguinte","")</x:f>
      </x:c>
      <x:c r="H15" s="258" t="n">
        <x:f>IF(D15&lt;&gt;"",MAX(0,B16-D15),"")</x:f>
        <x:v>0.003472222226264421</x:v>
      </x:c>
    </x:row>
    <x:row r="16">
      <x:c r="A16" s="238" t="str">
        <x:v>Paciente 8</x:v>
      </x:c>
      <x:c r="B16" s="251" t="n">
        <x:v>46219.43402777778</x:v>
      </x:c>
      <x:c r="C16" s="252" t="n">
        <x:f>IF(D16&lt;&gt;"",D16-B16,"")</x:f>
        <x:v>0.009027777778101154</x:v>
      </x:c>
      <x:c r="D16" s="251" t="n">
        <x:v>46219.44305555556</x:v>
      </x:c>
      <x:c r="E16" s="252" t="str">
        <x:f>IF(F16="Sim",B17-B16,"")</x:f>
      </x:c>
      <x:c r="F16" s="253" t="str">
        <x:f>IF(AND(D16&lt;&gt;"",D16&gt;B17),"Sim","Não")</x:f>
        <x:v>Não</x:v>
      </x:c>
      <x:c r="G16" s="261" t="str">
        <x:f>IF(F16="Sim","Término posterior ao início do atendimento seguinte","")</x:f>
      </x:c>
      <x:c r="H16" s="258" t="n">
        <x:f>IF(D16&lt;&gt;"",MAX(0,B17-D16),"")</x:f>
        <x:v>0.0006944444394321181</x:v>
      </x:c>
    </x:row>
    <x:row r="17">
      <x:c r="A17" s="238" t="str">
        <x:v>Paciente 9</x:v>
      </x:c>
      <x:c r="B17" s="251" t="n">
        <x:v>46219.44375</x:v>
      </x:c>
      <x:c r="C17" s="252" t="n">
        <x:f>IF(D17&lt;&gt;"",D17-B17,"")</x:f>
        <x:v>0.004861111112404615</x:v>
      </x:c>
      <x:c r="D17" s="251" t="n">
        <x:v>46219.44861111111</x:v>
      </x:c>
      <x:c r="E17" s="252" t="str">
        <x:f>IF(F17="Sim",B18-B17,"")</x:f>
      </x:c>
      <x:c r="F17" s="253" t="str">
        <x:f>IF(AND(D17&lt;&gt;"",D17&gt;B18),"Sim","Não")</x:f>
        <x:v>Não</x:v>
      </x:c>
      <x:c r="G17" s="261" t="str">
        <x:f>IF(F17="Sim","Término posterior ao início do atendimento seguinte","")</x:f>
      </x:c>
      <x:c r="H17" s="258" t="n">
        <x:f>IF(D17&lt;&gt;"",MAX(0,B18-D17),"")</x:f>
        <x:v>0</x:v>
      </x:c>
    </x:row>
    <x:row r="18">
      <x:c r="A18" s="238" t="str">
        <x:v>Paciente 10</x:v>
      </x:c>
      <x:c r="B18" s="251" t="n">
        <x:v>46219.44861111111</x:v>
      </x:c>
      <x:c r="C18" s="252" t="n">
        <x:f>IF(D18&lt;&gt;"",D18-B18,"")</x:f>
        <x:v>0.00555555555911269</x:v>
      </x:c>
      <x:c r="D18" s="251" t="n">
        <x:v>46219.45416666667</x:v>
      </x:c>
      <x:c r="E18" s="252" t="str">
        <x:f>IF(F18="Sim",B19-B18,"")</x:f>
      </x:c>
      <x:c r="F18" s="253" t="str">
        <x:f>IF(AND(D18&lt;&gt;"",D18&gt;B19),"Sim","Não")</x:f>
        <x:v>Não</x:v>
      </x:c>
      <x:c r="G18" s="261" t="str">
        <x:f>IF(F18="Sim","Término posterior ao início do atendimento seguinte","")</x:f>
      </x:c>
      <x:c r="H18" s="258" t="n">
        <x:f>IF(D18&lt;&gt;"",MAX(0,B19-D18),"")</x:f>
        <x:v>0.0034722222189884633</x:v>
      </x:c>
    </x:row>
    <x:row r="19">
      <x:c r="A19" s="238" t="str">
        <x:v>Paciente 11</x:v>
      </x:c>
      <x:c r="B19" s="251" t="n">
        <x:v>46219.45763888889</x:v>
      </x:c>
      <x:c r="C19" s="252" t="n">
        <x:f>IF(D19&lt;&gt;"",D19-B19,"")</x:f>
        <x:v>0.002777777779556345</x:v>
      </x:c>
      <x:c r="D19" s="251" t="n">
        <x:v>46219.46041666667</x:v>
      </x:c>
      <x:c r="E19" s="252" t="str">
        <x:f>IF(F19="Sim",B20-B19,"")</x:f>
      </x:c>
      <x:c r="F19" s="253" t="str">
        <x:f>IF(AND(D19&lt;&gt;"",D19&gt;B20),"Sim","Não")</x:f>
        <x:v>Não</x:v>
      </x:c>
      <x:c r="G19" s="261" t="str">
        <x:f>IF(F19="Sim","Término posterior ao início do atendimento seguinte","")</x:f>
      </x:c>
      <x:c r="H19" s="258" t="n">
        <x:f>IF(D19&lt;&gt;"",MAX(0,B20-D19),"")</x:f>
        <x:v>0.0013888888861401938</x:v>
      </x:c>
    </x:row>
    <x:row r="20">
      <x:c r="A20" s="238" t="str">
        <x:v>Paciente 12</x:v>
      </x:c>
      <x:c r="B20" s="251" t="n">
        <x:v>46219.461805555555</x:v>
      </x:c>
      <x:c r="C20" s="252" t="n">
        <x:f>IF(D20&lt;&gt;"",D20-B20,"")</x:f>
        <x:v>0.004166666665696539</x:v>
      </x:c>
      <x:c r="D20" s="251" t="n">
        <x:v>46219.46597222222</x:v>
      </x:c>
      <x:c r="E20" s="252" t="str">
        <x:f>IF(F20="Sim",B21-B20,"")</x:f>
      </x:c>
      <x:c r="F20" s="253" t="str">
        <x:f>IF(AND(D20&lt;&gt;"",D20&gt;B21),"Sim","Não")</x:f>
        <x:v>Não</x:v>
      </x:c>
      <x:c r="G20" s="261" t="str">
        <x:f>IF(F20="Sim","Término posterior ao início do atendimento seguinte","")</x:f>
      </x:c>
      <x:c r="H20" s="258" t="n">
        <x:f>IF(D20&lt;&gt;"",MAX(0,B21-D20),"")</x:f>
        <x:v>0.010416666671517305</x:v>
      </x:c>
    </x:row>
    <x:row r="21">
      <x:c r="A21" s="238" t="str">
        <x:v>Paciente 13</x:v>
      </x:c>
      <x:c r="B21" s="251" t="n">
        <x:v>46219.47638888889</x:v>
      </x:c>
      <x:c r="C21" s="252" t="n">
        <x:f>IF(D21&lt;&gt;"",D21-B21,"")</x:f>
        <x:v>0.0069444444379769266</x:v>
      </x:c>
      <x:c r="D21" s="251" t="n">
        <x:v>46219.48333333333</x:v>
      </x:c>
      <x:c r="E21" s="252" t="str">
        <x:f>IF(F21="Sim",B22-B21,"")</x:f>
      </x:c>
      <x:c r="F21" s="253" t="str">
        <x:f>IF(AND(D21&lt;&gt;"",D21&gt;B22),"Sim","Não")</x:f>
        <x:v>Não</x:v>
      </x:c>
      <x:c r="G21" s="261" t="str">
        <x:f>IF(F21="Sim","Término posterior ao início do atendimento seguinte","")</x:f>
      </x:c>
      <x:c r="H21" s="258" t="n">
        <x:f>IF(D21&lt;&gt;"",MAX(0,B22-D21),"")</x:f>
        <x:v>0</x:v>
      </x:c>
    </x:row>
    <x:row r="22">
      <x:c r="A22" s="238" t="str">
        <x:v>Paciente 14</x:v>
      </x:c>
      <x:c r="B22" s="251" t="n">
        <x:v>46219.48333333333</x:v>
      </x:c>
      <x:c r="C22" s="252" t="n">
        <x:f>IF(D22&lt;&gt;"",D22-B22,"")</x:f>
        <x:v>0.00555555555911269</x:v>
      </x:c>
      <x:c r="D22" s="251" t="n">
        <x:v>46219.48888888889</x:v>
      </x:c>
      <x:c r="E22" s="252" t="str">
        <x:f>IF(F22="Sim",B23-B22,"")</x:f>
      </x:c>
      <x:c r="F22" s="253" t="str">
        <x:f>IF(AND(D22&lt;&gt;"",D22&gt;B23),"Sim","Não")</x:f>
        <x:v>Não</x:v>
      </x:c>
      <x:c r="G22" s="261" t="str">
        <x:f>IF(F22="Sim","Término posterior ao início do atendimento seguinte","")</x:f>
      </x:c>
      <x:c r="H22" s="258" t="n">
        <x:f>IF(D22&lt;&gt;"",MAX(0,B23-D22),"")</x:f>
        <x:v>0</x:v>
      </x:c>
    </x:row>
    <x:row r="23">
      <x:c r="A23" s="238" t="str">
        <x:v>Paciente 15</x:v>
      </x:c>
      <x:c r="B23" s="251" t="n">
        <x:v>46219.48888888889</x:v>
      </x:c>
      <x:c r="C23" s="252" t="n">
        <x:f>IF(D23&lt;&gt;"",D23-B23,"")</x:f>
        <x:v>0.0034722222189884633</x:v>
      </x:c>
      <x:c r="D23" s="251" t="n">
        <x:v>46219.49236111111</x:v>
      </x:c>
      <x:c r="E23" s="252" t="str">
        <x:f>IF(F23="Sim",B24-B23,"")</x:f>
      </x:c>
      <x:c r="F23" s="253" t="str">
        <x:f>IF(AND(D23&lt;&gt;"",D23&gt;B24),"Sim","Não")</x:f>
        <x:v>Não</x:v>
      </x:c>
      <x:c r="G23" s="261" t="str">
        <x:f>IF(F23="Sim","Término posterior ao início do atendimento seguinte","")</x:f>
      </x:c>
      <x:c r="H23" s="258" t="n">
        <x:f>IF(D23&lt;&gt;"",MAX(0,B24-D23),"")</x:f>
        <x:v>0.004166666672972497</x:v>
      </x:c>
    </x:row>
    <x:row r="24">
      <x:c r="A24" s="238" t="str">
        <x:v>Paciente 16</x:v>
      </x:c>
      <x:c r="B24" s="251" t="n">
        <x:v>46219.49652777778</x:v>
      </x:c>
      <x:c r="C24" s="252" t="n">
        <x:f>IF(D24&lt;&gt;"",D24-B24,"")</x:f>
        <x:v>0.009722222217533272</x:v>
      </x:c>
      <x:c r="D24" s="251" t="n">
        <x:v>46219.50625</x:v>
      </x:c>
      <x:c r="E24" s="252" t="str">
        <x:f>IF(F24="Sim",B25-B24,"")</x:f>
      </x:c>
      <x:c r="F24" s="253" t="str">
        <x:f>IF(AND(D24&lt;&gt;"",D24&gt;B25),"Sim","Não")</x:f>
        <x:v>Não</x:v>
      </x:c>
      <x:c r="G24" s="261" t="str">
        <x:f>IF(F24="Sim","Término posterior ao início do atendimento seguinte","")</x:f>
      </x:c>
      <x:c r="H24" s="258" t="n">
        <x:f>IF(D24&lt;&gt;"",MAX(0,B25-D24),"")</x:f>
        <x:v>0</x:v>
      </x:c>
    </x:row>
    <x:row r="25">
      <x:c r="A25" s="238" t="str">
        <x:v>Paciente 17</x:v>
      </x:c>
      <x:c r="B25" s="251" t="n">
        <x:v>46219.50625</x:v>
      </x:c>
      <x:c r="C25" s="252" t="n">
        <x:f>IF(D25&lt;&gt;"",D25-B25,"")</x:f>
        <x:v>0.003472222226264421</x:v>
      </x:c>
      <x:c r="D25" s="251" t="n">
        <x:v>46219.509722222225</x:v>
      </x:c>
      <x:c r="E25" s="252" t="str">
        <x:f>IF(F25="Sim",B26-B25,"")</x:f>
      </x:c>
      <x:c r="F25" s="253" t="str">
        <x:f>IF(AND(D25&lt;&gt;"",D25&gt;B26),"Sim","Não")</x:f>
        <x:v>Não</x:v>
      </x:c>
      <x:c r="G25" s="261" t="str">
        <x:f>IF(F25="Sim","Término posterior ao início do atendimento seguinte","")</x:f>
      </x:c>
      <x:c r="H25" s="258" t="n">
        <x:f>IF(D25&lt;&gt;"",MAX(0,B26-D25),"")</x:f>
        <x:v>0.006944444445252884</x:v>
      </x:c>
    </x:row>
    <x:row r="26">
      <x:c r="A26" s="238" t="str">
        <x:v>Paciente 18</x:v>
      </x:c>
      <x:c r="B26" s="251" t="n">
        <x:v>46219.51666666667</x:v>
      </x:c>
      <x:c r="C26" s="252" t="n">
        <x:f>IF(D26&lt;&gt;"",D26-B26,"")</x:f>
        <x:v>0.0069444444379769266</x:v>
      </x:c>
      <x:c r="D26" s="251" t="n">
        <x:v>46219.52361111111</x:v>
      </x:c>
      <x:c r="E26" s="252" t="str">
        <x:f>IF(F26="Sim",B27-B26,"")</x:f>
      </x:c>
      <x:c r="F26" s="253" t="str">
        <x:f>IF(AND(D26&lt;&gt;"",D26&gt;B27),"Sim","Não")</x:f>
        <x:v>Não</x:v>
      </x:c>
      <x:c r="G26" s="261" t="str">
        <x:f>IF(F26="Sim","Término posterior ao início do atendimento seguinte","")</x:f>
      </x:c>
      <x:c r="H26" s="258" t="n">
        <x:f>IF(D26&lt;&gt;"",MAX(0,B27-D26),"")</x:f>
        <x:v>0.004166666672972497</x:v>
      </x:c>
    </x:row>
    <x:row r="27">
      <x:c r="A27" s="238" t="str">
        <x:v>Paciente 19</x:v>
      </x:c>
      <x:c r="B27" s="251" t="n">
        <x:v>46219.52777777778</x:v>
      </x:c>
      <x:c r="C27" s="252" t="n">
        <x:f>IF(D27&lt;&gt;"",D27-B27,"")</x:f>
        <x:v>0.004166666665696539</x:v>
      </x:c>
      <x:c r="D27" s="251" t="n">
        <x:v>46219.53194444445</x:v>
      </x:c>
      <x:c r="E27" s="252" t="str">
        <x:f>IF(F27="Sim",B28-B27,"")</x:f>
      </x:c>
      <x:c r="F27" s="253" t="str">
        <x:f>IF(AND(D27&lt;&gt;"",D27&gt;B28),"Sim","Não")</x:f>
        <x:v>Não</x:v>
      </x:c>
      <x:c r="G27" s="261" t="str">
        <x:f>IF(F27="Sim","Término posterior ao início do atendimento seguinte","")</x:f>
      </x:c>
      <x:c r="H27" s="258" t="n">
        <x:f>IF(D27&lt;&gt;"",MAX(0,B28-D27),"")</x:f>
        <x:v>0.0006944444394321181</x:v>
      </x:c>
    </x:row>
    <x:row r="28">
      <x:c r="A28" s="238" t="str">
        <x:v>Paciente 20</x:v>
      </x:c>
      <x:c r="B28" s="251" t="n">
        <x:v>46219.532638888886</x:v>
      </x:c>
      <x:c r="C28" s="252" t="n">
        <x:f>IF(D28&lt;&gt;"",D28-B28,"")</x:f>
        <x:v>0.00555555555911269</x:v>
      </x:c>
      <x:c r="D28" s="251" t="n">
        <x:v>46219.538194444445</x:v>
      </x:c>
      <x:c r="E28" s="252" t="str">
        <x:f>IF(F28="Sim",B29-B28,"")</x:f>
      </x:c>
      <x:c r="F28" s="253" t="str">
        <x:f>IF(AND(D28&lt;&gt;"",D28&gt;B29),"Sim","Não")</x:f>
        <x:v>Não</x:v>
      </x:c>
      <x:c r="G28" s="261" t="str">
        <x:f>IF(F28="Sim","Término posterior ao início do atendimento seguinte","")</x:f>
      </x:c>
      <x:c r="H28" s="258" t="n">
        <x:f>IF(D28&lt;&gt;"",MAX(0,B29-D28),"")</x:f>
        <x:v>0.0020833333328482695</x:v>
      </x:c>
    </x:row>
    <x:row r="29">
      <x:c r="A29" s="238" t="str">
        <x:v>Paciente 21</x:v>
      </x:c>
      <x:c r="B29" s="251" t="n">
        <x:v>46219.54027777778</x:v>
      </x:c>
      <x:c r="C29" s="252" t="n">
        <x:f>IF(D29&lt;&gt;"",D29-B29,"")</x:f>
        <x:v>0.0020833333328482695</x:v>
      </x:c>
      <x:c r="D29" s="251" t="n">
        <x:v>46219.54236111111</x:v>
      </x:c>
      <x:c r="E29" s="252" t="str">
        <x:f>IF(F29="Sim",B30-B29,"")</x:f>
      </x:c>
      <x:c r="F29" s="253" t="str">
        <x:f>IF(AND(D29&lt;&gt;"",D29&gt;B30),"Sim","Não")</x:f>
        <x:v>Não</x:v>
      </x:c>
      <x:c r="G29" s="261" t="str">
        <x:f>IF(F29="Sim","Término posterior ao início do atendimento seguinte","")</x:f>
      </x:c>
      <x:c r="H29" s="258" t="n">
        <x:f>IF(D29&lt;&gt;"",MAX(0,B30-D29),"")</x:f>
        <x:v>0.027777777781011537</x:v>
      </x:c>
    </x:row>
    <x:row r="30">
      <x:c r="A30" s="238" t="str">
        <x:v>Paciente 22</x:v>
      </x:c>
      <x:c r="B30" s="251" t="n">
        <x:v>46219.57013888889</x:v>
      </x:c>
      <x:c r="C30" s="252" t="n">
        <x:f>IF(D30&lt;&gt;"",D30-B30,"")</x:f>
        <x:v>0.0062499999985448085</x:v>
      </x:c>
      <x:c r="D30" s="251" t="n">
        <x:v>46219.57638888889</x:v>
      </x:c>
      <x:c r="E30" s="252" t="str">
        <x:f>IF(F30="Sim",B31-B30,"")</x:f>
      </x:c>
      <x:c r="F30" s="253" t="str">
        <x:f>IF(AND(D30&lt;&gt;"",D30&gt;B31),"Sim","Não")</x:f>
        <x:v>Não</x:v>
      </x:c>
      <x:c r="G30" s="261" t="str">
        <x:f>IF(F30="Sim","Término posterior ao início do atendimento seguinte","")</x:f>
      </x:c>
      <x:c r="H30" s="258" t="n">
        <x:f>IF(D30&lt;&gt;"",MAX(0,B31-D30),"")</x:f>
        <x:v>0.004166666665696539</x:v>
      </x:c>
    </x:row>
    <x:row r="31">
      <x:c r="A31" s="238" t="str">
        <x:v>Paciente 23</x:v>
      </x:c>
      <x:c r="B31" s="251" t="n">
        <x:v>46219.580555555556</x:v>
      </x:c>
      <x:c r="C31" s="252" t="n">
        <x:f>IF(D31&lt;&gt;"",D31-B31,"")</x:f>
        <x:v>0.008333333331393078</x:v>
      </x:c>
      <x:c r="D31" s="251" t="n">
        <x:v>46219.58888888889</x:v>
      </x:c>
      <x:c r="E31" s="252" t="str">
        <x:f>IF(F31="Sim",B32-B31,"")</x:f>
      </x:c>
      <x:c r="F31" s="253" t="str">
        <x:f>IF(AND(D31&lt;&gt;"",D31&gt;B32),"Sim","Não")</x:f>
        <x:v>Não</x:v>
      </x:c>
      <x:c r="G31" s="261" t="str">
        <x:f>IF(F31="Sim","Término posterior ao início do atendimento seguinte","")</x:f>
      </x:c>
      <x:c r="H31" s="258" t="n">
        <x:f>IF(D31&lt;&gt;"",MAX(0,B32-D31),"")</x:f>
        <x:v>0.0006944444467080757</x:v>
      </x:c>
    </x:row>
    <x:row r="32">
      <x:c r="A32" s="238" t="str">
        <x:v>Paciente 24</x:v>
      </x:c>
      <x:c r="B32" s="251" t="n">
        <x:v>46219.589583333334</x:v>
      </x:c>
      <x:c r="C32" s="252" t="n">
        <x:f>IF(D32&lt;&gt;"",D32-B32,"")</x:f>
        <x:v>0.005555555551836733</x:v>
      </x:c>
      <x:c r="D32" s="251" t="n">
        <x:v>46219.595138888886</x:v>
      </x:c>
      <x:c r="E32" s="252" t="str">
        <x:f>IF(F32="Sim",B33-B32,"")</x:f>
      </x:c>
      <x:c r="F32" s="253" t="str">
        <x:f>IF(AND(D32&lt;&gt;"",D32&gt;B33),"Sim","Não")</x:f>
        <x:v>Não</x:v>
      </x:c>
      <x:c r="G32" s="261" t="str">
        <x:f>IF(F32="Sim","Término posterior ao início do atendimento seguinte","")</x:f>
      </x:c>
      <x:c r="H32" s="258" t="n">
        <x:f>IF(D32&lt;&gt;"",MAX(0,B33-D32),"")</x:f>
        <x:v>0.0013888888934161514</x:v>
      </x:c>
    </x:row>
    <x:row r="33">
      <x:c r="A33" s="238" t="str">
        <x:v>Paciente 25</x:v>
      </x:c>
      <x:c r="B33" s="251" t="n">
        <x:v>46219.59652777778</x:v>
      </x:c>
      <x:c r="C33" s="252" t="n">
        <x:f>IF(D33&lt;&gt;"",D33-B33,"")</x:f>
        <x:v>0.0034722222189884633</x:v>
      </x:c>
      <x:c r="D33" s="251" t="n">
        <x:v>46219.6</x:v>
      </x:c>
      <x:c r="E33" s="252" t="str">
        <x:f>IF(F33="Sim",B34-B33,"")</x:f>
      </x:c>
      <x:c r="F33" s="253" t="str">
        <x:f>IF(AND(D33&lt;&gt;"",D33&gt;B34),"Sim","Não")</x:f>
        <x:v>Não</x:v>
      </x:c>
      <x:c r="G33" s="261" t="str">
        <x:f>IF(F33="Sim","Término posterior ao início do atendimento seguinte","")</x:f>
      </x:c>
      <x:c r="H33" s="258" t="n">
        <x:f>IF(D33&lt;&gt;"",MAX(0,B34-D33),"")</x:f>
        <x:v>0.004166666665696539</x:v>
      </x:c>
    </x:row>
    <x:row r="34">
      <x:c r="A34" s="238" t="str">
        <x:v>Paciente 26</x:v>
      </x:c>
      <x:c r="B34" s="251" t="n">
        <x:v>46219.604166666664</x:v>
      </x:c>
      <x:c r="C34" s="252" t="n">
        <x:f>IF(D34&lt;&gt;"",D34-B34,"")</x:f>
        <x:v>0.004861111112404615</x:v>
      </x:c>
      <x:c r="D34" s="251" t="n">
        <x:v>46219.60902777778</x:v>
      </x:c>
      <x:c r="E34" s="252" t="str">
        <x:f>IF(F34="Sim",B35-B34,"")</x:f>
      </x:c>
      <x:c r="F34" s="253" t="str">
        <x:f>IF(AND(D34&lt;&gt;"",D34&gt;B35),"Sim","Não")</x:f>
        <x:v>Não</x:v>
      </x:c>
      <x:c r="G34" s="261" t="str">
        <x:f>IF(F34="Sim","Término posterior ao início do atendimento seguinte","")</x:f>
      </x:c>
      <x:c r="H34" s="258" t="n">
        <x:f>IF(D34&lt;&gt;"",MAX(0,B35-D34),"")</x:f>
        <x:v>0.004166666665696539</x:v>
      </x:c>
    </x:row>
    <x:row r="35">
      <x:c r="A35" s="238" t="str">
        <x:v>Paciente 27</x:v>
      </x:c>
      <x:c r="B35" s="251" t="n">
        <x:v>46219.61319444444</x:v>
      </x:c>
      <x:c r="C35" s="252" t="n">
        <x:f>IF(D35&lt;&gt;"",D35-B35,"")</x:f>
        <x:v>0.0020833333328482695</x:v>
      </x:c>
      <x:c r="D35" s="251" t="n">
        <x:v>46219.615277777775</x:v>
      </x:c>
      <x:c r="E35" s="252" t="str">
        <x:f>IF(F35="Sim",B36-B35,"")</x:f>
      </x:c>
      <x:c r="F35" s="253" t="str">
        <x:f>IF(AND(D35&lt;&gt;"",D35&gt;B36),"Sim","Não")</x:f>
        <x:v>Não</x:v>
      </x:c>
      <x:c r="G35" s="261" t="str">
        <x:f>IF(F35="Sim","Término posterior ao início do atendimento seguinte","")</x:f>
      </x:c>
      <x:c r="H35" s="258" t="n">
        <x:f>IF(D35&lt;&gt;"",MAX(0,B36-D35),"")</x:f>
        <x:v>0.012500000004365575</x:v>
      </x:c>
    </x:row>
    <x:row r="36">
      <x:c r="A36" s="238" t="str">
        <x:v>Paciente 28</x:v>
      </x:c>
      <x:c r="B36" s="251" t="n">
        <x:v>46219.62777777778</x:v>
      </x:c>
      <x:c r="C36" s="252" t="n">
        <x:f>IF(D36&lt;&gt;"",D36-B36,"")</x:f>
        <x:v>0.002777777779556345</x:v>
      </x:c>
      <x:c r="D36" s="251" t="n">
        <x:v>46219.63055555556</x:v>
      </x:c>
      <x:c r="E36" s="252" t="str">
        <x:f>IF(F36="Sim",B37-B36,"")</x:f>
      </x:c>
      <x:c r="F36" s="253" t="str">
        <x:f>IF(AND(D36&lt;&gt;"",D36&gt;B37),"Sim","Não")</x:f>
        <x:v>Não</x:v>
      </x:c>
      <x:c r="G36" s="261" t="str">
        <x:f>IF(F36="Sim","Término posterior ao início do atendimento seguinte","")</x:f>
      </x:c>
      <x:c r="H36" s="258" t="n">
        <x:f>IF(D36&lt;&gt;"",MAX(0,B37-D36),"")</x:f>
        <x:v>0.004166666665696539</x:v>
      </x:c>
    </x:row>
    <x:row r="37">
      <x:c r="A37" s="238" t="str">
        <x:v>Paciente 29</x:v>
      </x:c>
      <x:c r="B37" s="251" t="n">
        <x:v>46219.634722222225</x:v>
      </x:c>
      <x:c r="C37" s="252" t="n">
        <x:f>IF(D37&lt;&gt;"",D37-B37,"")</x:f>
        <x:v>0.005555555551836733</x:v>
      </x:c>
      <x:c r="D37" s="251" t="n">
        <x:v>46219.64027777778</x:v>
      </x:c>
      <x:c r="E37" s="252" t="str">
        <x:f>IF(F37="Sim",B38-B37,"")</x:f>
      </x:c>
      <x:c r="F37" s="253" t="str">
        <x:f>IF(AND(D37&lt;&gt;"",D37&gt;B38),"Sim","Não")</x:f>
        <x:v>Não</x:v>
      </x:c>
      <x:c r="G37" s="261" t="str">
        <x:f>IF(F37="Sim","Término posterior ao início do atendimento seguinte","")</x:f>
      </x:c>
      <x:c r="H37" s="258" t="n">
        <x:f>IF(D37&lt;&gt;"",MAX(0,B38-D37),"")</x:f>
        <x:v>0.0006944444467080757</x:v>
      </x:c>
    </x:row>
    <x:row r="38">
      <x:c r="A38" s="238" t="str">
        <x:v>Paciente 30</x:v>
      </x:c>
      <x:c r="B38" s="251" t="n">
        <x:v>46219.64097222222</x:v>
      </x:c>
      <x:c r="C38" s="252" t="n">
        <x:f>IF(D38&lt;&gt;"",D38-B38,"")</x:f>
        <x:v>0.008333333331393078</x:v>
      </x:c>
      <x:c r="D38" s="251" t="n">
        <x:v>46219.649305555555</x:v>
      </x:c>
      <x:c r="E38" s="252" t="str">
        <x:f>IF(F38="Sim",B39-B38,"")</x:f>
      </x:c>
      <x:c r="F38" s="253" t="str">
        <x:f>IF(AND(D38&lt;&gt;"",D38&gt;B39),"Sim","Não")</x:f>
        <x:v>Não</x:v>
      </x:c>
      <x:c r="G38" s="261" t="str">
        <x:f>IF(F38="Sim","Término posterior ao início do atendimento seguinte","")</x:f>
      </x:c>
      <x:c r="H38" s="258" t="n">
        <x:f>IF(D38&lt;&gt;"",MAX(0,B39-D38),"")</x:f>
        <x:v>0.0013888888861401938</x:v>
      </x:c>
    </x:row>
    <x:row r="39">
      <x:c r="A39" s="238" t="str">
        <x:v>Paciente 31</x:v>
      </x:c>
      <x:c r="B39" s="251" t="n">
        <x:v>46219.65069444444</x:v>
      </x:c>
      <x:c r="C39" s="252" t="n">
        <x:f>IF(D39&lt;&gt;"",D39-B39,"")</x:f>
        <x:v>0.006250000005820766</x:v>
      </x:c>
      <x:c r="D39" s="251" t="n">
        <x:v>46219.65694444445</x:v>
      </x:c>
      <x:c r="E39" s="252" t="str">
        <x:f>IF(F39="Sim",B40-B39,"")</x:f>
      </x:c>
      <x:c r="F39" s="253" t="str">
        <x:f>IF(AND(D39&lt;&gt;"",D39&gt;B40),"Sim","Não")</x:f>
        <x:v>Não</x:v>
      </x:c>
      <x:c r="G39" s="261" t="str">
        <x:f>IF(F39="Sim","Término posterior ao início do atendimento seguinte","")</x:f>
      </x:c>
      <x:c r="H39" s="258" t="n">
        <x:f>IF(D39&lt;&gt;"",MAX(0,B40-D39),"")</x:f>
        <x:v>0.004166666665696539</x:v>
      </x:c>
    </x:row>
    <x:row r="40">
      <x:c r="A40" s="243" t="str">
        <x:v>Paciente 32</x:v>
      </x:c>
      <x:c r="B40" s="254" t="n">
        <x:v>46219.66111111111</x:v>
      </x:c>
      <x:c r="C40" s="255" t="n">
        <x:f>IF(D40&lt;&gt;"",D40-B40,"")</x:f>
        <x:v>0.0020833333328482695</x:v>
      </x:c>
      <x:c r="D40" s="254" t="n">
        <x:v>46219.663194444445</x:v>
      </x:c>
      <x:c r="E40" s="255"/>
      <x:c r="F40" s="256" t="str">
        <x:v>Não</x:v>
      </x:c>
      <x:c r="G40" s="262" t="str"/>
      <x:c r="H40" s="259"/>
    </x:row>
  </x:sheetData>
  <x:mergeCells>
    <x:mergeCell ref="A1:H1"/>
    <x:mergeCell ref="B2:H2"/>
    <x:mergeCell ref="B3:H3"/>
    <x:mergeCell ref="B4:H4"/>
    <x:mergeCell ref="A6:H6"/>
  </x:mergeCells>
  <x:conditionalFormatting sqref="A9:H40">
    <x:cfRule type="expression" dxfId="11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48b449a3544f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1" hidden="0" customWidth="1"/>
    <x:col min="5" max="5" width="2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28" customHeight="1">
      <x:c r="A1" s="211" t="str">
        <x:v>ANÁLISE DE ATENDIMENTOS - GINECOLOGIA CLÍNICA</x:v>
      </x:c>
      <x:c r="B1" s="211"/>
      <x:c r="C1" s="211"/>
      <x:c r="D1" s="211"/>
      <x:c r="E1" s="211"/>
      <x:c r="F1" s="211"/>
      <x:c r="G1" s="211"/>
      <x:c r="H1" s="211"/>
    </x:row>
    <x:row r="2">
      <x:c r="A2" s="213" t="str">
        <x:v>Médico</x:v>
      </x:c>
      <x:c r="B2" t="str">
        <x:v>André Hahn Magarino</x:v>
      </x:c>
    </x:row>
    <x:row r="3">
      <x:c r="A3" s="213" t="str">
        <x:v>Especialidade</x:v>
      </x:c>
      <x:c r="B3" t="str">
        <x:v>Ginecologia Clínica</x:v>
      </x:c>
    </x:row>
    <x:row r="4">
      <x:c r="A4" s="213" t="str">
        <x:v>Data</x:v>
      </x:c>
      <x:c r="B4" s="45" t="n">
        <x:v>46219</x:v>
      </x:c>
    </x:row>
    <x:row r="6" ht="38" customHeight="1">
      <x:c r="A6" s="217" t="str">
        <x:v>Nos casos de sobreposição, o tempo real é calculado pelo início do atendimento seguinte menos o início do atendimento atual.</x:v>
      </x:c>
      <x:c r="B6" s="217"/>
      <x:c r="C6" s="217"/>
      <x:c r="D6" s="217"/>
      <x:c r="E6" s="217"/>
      <x:c r="F6" s="217"/>
      <x:c r="G6" s="217"/>
      <x:c r="H6" s="217"/>
    </x:row>
    <x:row r="7" ht="42" customHeight="1">
      <x:c r="A7" s="226" t="n">
        <x:f>COUNTA(A9:A46)</x:f>
        <x:v>38</x:v>
      </x:c>
      <x:c r="B7" s="227" t="n">
        <x:f>IFERROR(AVERAGE(C9:C46),"")</x:f>
        <x:v>0.011951754385862793</x:v>
      </x:c>
      <x:c r="C7" s="227" t="n">
        <x:f>IFERROR(MAX(C9:C46),"")</x:f>
        <x:v>0.022916666668606922</x:v>
      </x:c>
      <x:c r="D7" s="226" t="n">
        <x:f>COUNTIF(F9:F46,"Sim")</x:f>
        <x:v>0</x:v>
      </x:c>
      <x:c r="E7" s="227" t="n">
        <x:f>IFERROR(MAX(H9:H46),"")</x:f>
        <x:v>0.009027777778101154</x:v>
      </x:c>
      <x:c r="F7" s="227" t="n">
        <x:f>SUM(C9:C46)</x:f>
        <x:v>0.45416666666278616</x:v>
      </x:c>
      <x:c r="G7" s="227" t="n">
        <x:f>SUM(E9:E46)</x:f>
        <x:v>0</x:v>
      </x:c>
      <x:c r="H7" s="226" t="n">
        <x:f>COUNT(E9:E46)</x:f>
        <x:v>0</x:v>
      </x:c>
    </x:row>
    <x:row r="8" ht="48" customHeight="1">
      <x:c r="A8" s="232" t="str">
        <x:v>Nome fila</x:v>
      </x:c>
      <x:c r="B8" s="232" t="str">
        <x:v>Início do atendimento</x:v>
      </x:c>
      <x:c r="C8" s="232" t="str">
        <x:v>Tempo de atendimento pelo sistema</x:v>
      </x:c>
      <x:c r="D8" s="232" t="str">
        <x:v>Término do atendimento</x:v>
      </x:c>
      <x:c r="E8" s="232" t="str">
        <x:v>Tempo de atendimento real</x:v>
      </x:c>
      <x:c r="F8" s="232" t="str">
        <x:v>Sobreposição identificada</x:v>
      </x:c>
      <x:c r="G8" s="232" t="str">
        <x:v>Observação</x:v>
      </x:c>
      <x:c r="H8" s="232" t="str">
        <x:v>Intervalo até o próximo atendimento</x:v>
      </x:c>
    </x:row>
    <x:row r="9">
      <x:c r="A9" s="233" t="str">
        <x:v>Paciente 1</x:v>
      </x:c>
      <x:c r="B9" s="248" t="n">
        <x:v>46219.34930555556</x:v>
      </x:c>
      <x:c r="C9" s="249" t="n">
        <x:f>IF(D9&lt;&gt;"",D9-B9,"")</x:f>
        <x:v>0.012499999997089617</x:v>
      </x:c>
      <x:c r="D9" s="248" t="n">
        <x:v>46219.361805555556</x:v>
      </x:c>
      <x:c r="E9" s="249" t="str">
        <x:f>IF(F9="Sim",B10-B9,"")</x:f>
      </x:c>
      <x:c r="F9" s="250" t="str">
        <x:f>IF(AND(D9&lt;&gt;"",D9&gt;B10),"Sim","Não")</x:f>
        <x:v>Não</x:v>
      </x:c>
      <x:c r="G9" s="260" t="str">
        <x:f>IF(F9="Sim","Término posterior ao início do atendimento seguinte","")</x:f>
      </x:c>
      <x:c r="H9" s="257" t="n">
        <x:f>IF(D9&lt;&gt;"",MAX(0,B10-D9),"")</x:f>
        <x:v>0.0006944444467080757</x:v>
      </x:c>
    </x:row>
    <x:row r="10">
      <x:c r="A10" s="238" t="str">
        <x:v>Paciente 2</x:v>
      </x:c>
      <x:c r="B10" s="251" t="n">
        <x:v>46219.3625</x:v>
      </x:c>
      <x:c r="C10" s="252" t="n">
        <x:f>IF(D10&lt;&gt;"",D10-B10,"")</x:f>
        <x:v>0.015277777776645962</x:v>
      </x:c>
      <x:c r="D10" s="251" t="n">
        <x:v>46219.37777777778</x:v>
      </x:c>
      <x:c r="E10" s="252" t="str">
        <x:f>IF(F10="Sim",B11-B10,"")</x:f>
      </x:c>
      <x:c r="F10" s="253" t="str">
        <x:f>IF(AND(D10&lt;&gt;"",D10&gt;B11),"Sim","Não")</x:f>
        <x:v>Não</x:v>
      </x:c>
      <x:c r="G10" s="261" t="str">
        <x:f>IF(F10="Sim","Término posterior ao início do atendimento seguinte","")</x:f>
      </x:c>
      <x:c r="H10" s="258" t="n">
        <x:f>IF(D10&lt;&gt;"",MAX(0,B11-D10),"")</x:f>
        <x:v>0</x:v>
      </x:c>
    </x:row>
    <x:row r="11">
      <x:c r="A11" s="238" t="str">
        <x:v>Paciente 3</x:v>
      </x:c>
      <x:c r="B11" s="251" t="n">
        <x:v>46219.37777777778</x:v>
      </x:c>
      <x:c r="C11" s="252" t="n">
        <x:f>IF(D11&lt;&gt;"",D11-B11,"")</x:f>
        <x:v>0.015972222223354038</x:v>
      </x:c>
      <x:c r="D11" s="251" t="n">
        <x:v>46219.39375</x:v>
      </x:c>
      <x:c r="E11" s="252" t="str">
        <x:f>IF(F11="Sim",B12-B11,"")</x:f>
      </x:c>
      <x:c r="F11" s="253" t="str">
        <x:f>IF(AND(D11&lt;&gt;"",D11&gt;B12),"Sim","Não")</x:f>
        <x:v>Não</x:v>
      </x:c>
      <x:c r="G11" s="261" t="str">
        <x:f>IF(F11="Sim","Término posterior ao início do atendimento seguinte","")</x:f>
      </x:c>
      <x:c r="H11" s="258" t="n">
        <x:f>IF(D11&lt;&gt;"",MAX(0,B12-D11),"")</x:f>
        <x:v>0.0006944444394321181</x:v>
      </x:c>
    </x:row>
    <x:row r="12">
      <x:c r="A12" s="238" t="str">
        <x:v>Paciente 4</x:v>
      </x:c>
      <x:c r="B12" s="251" t="n">
        <x:v>46219.39444444444</x:v>
      </x:c>
      <x:c r="C12" s="252" t="n">
        <x:f>IF(D12&lt;&gt;"",D12-B12,"")</x:f>
        <x:v>0.021527777782466728</x:v>
      </x:c>
      <x:c r="D12" s="251" t="n">
        <x:v>46219.415972222225</x:v>
      </x:c>
      <x:c r="E12" s="252" t="str">
        <x:f>IF(F12="Sim",B13-B12,"")</x:f>
      </x:c>
      <x:c r="F12" s="253" t="str">
        <x:f>IF(AND(D12&lt;&gt;"",D12&gt;B13),"Sim","Não")</x:f>
        <x:v>Não</x:v>
      </x:c>
      <x:c r="G12" s="261" t="str">
        <x:f>IF(F12="Sim","Término posterior ao início do atendimento seguinte","")</x:f>
      </x:c>
      <x:c r="H12" s="258" t="n">
        <x:f>IF(D12&lt;&gt;"",MAX(0,B13-D12),"")</x:f>
        <x:v>0</x:v>
      </x:c>
    </x:row>
    <x:row r="13">
      <x:c r="A13" s="238" t="str">
        <x:v>Paciente 5</x:v>
      </x:c>
      <x:c r="B13" s="251" t="n">
        <x:v>46219.415972222225</x:v>
      </x:c>
      <x:c r="C13" s="252" t="n">
        <x:f>IF(D13&lt;&gt;"",D13-B13,"")</x:f>
        <x:v>0.022916666661330964</x:v>
      </x:c>
      <x:c r="D13" s="251" t="n">
        <x:v>46219.438888888886</x:v>
      </x:c>
      <x:c r="E13" s="252" t="str">
        <x:f>IF(F13="Sim",B14-B13,"")</x:f>
      </x:c>
      <x:c r="F13" s="253" t="str">
        <x:f>IF(AND(D13&lt;&gt;"",D13&gt;B14),"Sim","Não")</x:f>
        <x:v>Não</x:v>
      </x:c>
      <x:c r="G13" s="261" t="str">
        <x:f>IF(F13="Sim","Término posterior ao início do atendimento seguinte","")</x:f>
      </x:c>
      <x:c r="H13" s="258" t="n">
        <x:f>IF(D13&lt;&gt;"",MAX(0,B14-D13),"")</x:f>
        <x:v>0</x:v>
      </x:c>
    </x:row>
    <x:row r="14">
      <x:c r="A14" s="238" t="str">
        <x:v>Paciente 6</x:v>
      </x:c>
      <x:c r="B14" s="251" t="n">
        <x:v>46219.438888888886</x:v>
      </x:c>
      <x:c r="C14" s="252" t="n">
        <x:f>IF(D14&lt;&gt;"",D14-B14,"")</x:f>
        <x:v>0.014583333337213844</x:v>
      </x:c>
      <x:c r="D14" s="251" t="n">
        <x:v>46219.45347222222</x:v>
      </x:c>
      <x:c r="E14" s="252" t="str">
        <x:f>IF(F14="Sim",B15-B14,"")</x:f>
      </x:c>
      <x:c r="F14" s="253" t="str">
        <x:f>IF(AND(D14&lt;&gt;"",D14&gt;B15),"Sim","Não")</x:f>
        <x:v>Não</x:v>
      </x:c>
      <x:c r="G14" s="261" t="str">
        <x:f>IF(F14="Sim","Término posterior ao início do atendimento seguinte","")</x:f>
      </x:c>
      <x:c r="H14" s="258" t="n">
        <x:f>IF(D14&lt;&gt;"",MAX(0,B15-D14),"")</x:f>
        <x:v>0</x:v>
      </x:c>
    </x:row>
    <x:row r="15">
      <x:c r="A15" s="238" t="str">
        <x:v>Paciente 7</x:v>
      </x:c>
      <x:c r="B15" s="251" t="n">
        <x:v>46219.45347222222</x:v>
      </x:c>
      <x:c r="C15" s="252" t="n">
        <x:f>IF(D15&lt;&gt;"",D15-B15,"")</x:f>
        <x:v>0.004861111112404615</x:v>
      </x:c>
      <x:c r="D15" s="251" t="n">
        <x:v>46219.458333333336</x:v>
      </x:c>
      <x:c r="E15" s="252" t="str">
        <x:f>IF(F15="Sim",B16-B15,"")</x:f>
      </x:c>
      <x:c r="F15" s="253" t="str">
        <x:f>IF(AND(D15&lt;&gt;"",D15&gt;B16),"Sim","Não")</x:f>
        <x:v>Não</x:v>
      </x:c>
      <x:c r="G15" s="261" t="str">
        <x:f>IF(F15="Sim","Término posterior ao início do atendimento seguinte","")</x:f>
      </x:c>
      <x:c r="H15" s="258" t="n">
        <x:f>IF(D15&lt;&gt;"",MAX(0,B16-D15),"")</x:f>
        <x:v>0.0006944444394321181</x:v>
      </x:c>
    </x:row>
    <x:row r="16">
      <x:c r="A16" s="238" t="str">
        <x:v>Paciente 8</x:v>
      </x:c>
      <x:c r="B16" s="251" t="n">
        <x:v>46219.459027777775</x:v>
      </x:c>
      <x:c r="C16" s="252" t="n">
        <x:f>IF(D16&lt;&gt;"",D16-B16,"")</x:f>
        <x:v>0.011805555557657499</x:v>
      </x:c>
      <x:c r="D16" s="251" t="n">
        <x:v>46219.47083333333</x:v>
      </x:c>
      <x:c r="E16" s="252" t="str">
        <x:f>IF(F16="Sim",B17-B16,"")</x:f>
      </x:c>
      <x:c r="F16" s="253" t="str">
        <x:f>IF(AND(D16&lt;&gt;"",D16&gt;B17),"Sim","Não")</x:f>
        <x:v>Não</x:v>
      </x:c>
      <x:c r="G16" s="261" t="str">
        <x:f>IF(F16="Sim","Término posterior ao início do atendimento seguinte","")</x:f>
      </x:c>
      <x:c r="H16" s="258" t="n">
        <x:f>IF(D16&lt;&gt;"",MAX(0,B17-D16),"")</x:f>
        <x:v>0.0006944444467080757</x:v>
      </x:c>
    </x:row>
    <x:row r="17">
      <x:c r="A17" s="238" t="str">
        <x:v>Paciente 9</x:v>
      </x:c>
      <x:c r="B17" s="251" t="n">
        <x:v>46219.47152777778</x:v>
      </x:c>
      <x:c r="C17" s="252" t="n">
        <x:f>IF(D17&lt;&gt;"",D17-B17,"")</x:f>
        <x:v>0.004166666665696539</x:v>
      </x:c>
      <x:c r="D17" s="251" t="n">
        <x:v>46219.475694444445</x:v>
      </x:c>
      <x:c r="E17" s="252" t="str">
        <x:f>IF(F17="Sim",B18-B17,"")</x:f>
      </x:c>
      <x:c r="F17" s="253" t="str">
        <x:f>IF(AND(D17&lt;&gt;"",D17&gt;B18),"Sim","Não")</x:f>
        <x:v>Não</x:v>
      </x:c>
      <x:c r="G17" s="261" t="str">
        <x:f>IF(F17="Sim","Término posterior ao início do atendimento seguinte","")</x:f>
      </x:c>
      <x:c r="H17" s="258" t="n">
        <x:f>IF(D17&lt;&gt;"",MAX(0,B18-D17),"")</x:f>
        <x:v>0</x:v>
      </x:c>
    </x:row>
    <x:row r="18">
      <x:c r="A18" s="238" t="str">
        <x:v>Paciente 10</x:v>
      </x:c>
      <x:c r="B18" s="251" t="n">
        <x:v>46219.475694444445</x:v>
      </x:c>
      <x:c r="C18" s="252" t="n">
        <x:f>IF(D18&lt;&gt;"",D18-B18,"")</x:f>
        <x:v>0.007638888884685002</x:v>
      </x:c>
      <x:c r="D18" s="251" t="n">
        <x:v>46219.48333333333</x:v>
      </x:c>
      <x:c r="E18" s="252" t="str">
        <x:f>IF(F18="Sim",B19-B18,"")</x:f>
      </x:c>
      <x:c r="F18" s="253" t="str">
        <x:f>IF(AND(D18&lt;&gt;"",D18&gt;B19),"Sim","Não")</x:f>
        <x:v>Não</x:v>
      </x:c>
      <x:c r="G18" s="261" t="str">
        <x:f>IF(F18="Sim","Término posterior ao início do atendimento seguinte","")</x:f>
      </x:c>
      <x:c r="H18" s="258" t="n">
        <x:f>IF(D18&lt;&gt;"",MAX(0,B19-D18),"")</x:f>
        <x:v>0</x:v>
      </x:c>
    </x:row>
    <x:row r="19">
      <x:c r="A19" s="238" t="str">
        <x:v>Paciente 11</x:v>
      </x:c>
      <x:c r="B19" s="251" t="n">
        <x:v>46219.48333333333</x:v>
      </x:c>
      <x:c r="C19" s="252" t="n">
        <x:f>IF(D19&lt;&gt;"",D19-B19,"")</x:f>
        <x:v>0.011111111110949423</x:v>
      </x:c>
      <x:c r="D19" s="251" t="n">
        <x:v>46219.49444444444</x:v>
      </x:c>
      <x:c r="E19" s="252" t="str">
        <x:f>IF(F19="Sim",B20-B19,"")</x:f>
      </x:c>
      <x:c r="F19" s="253" t="str">
        <x:f>IF(AND(D19&lt;&gt;"",D19&gt;B20),"Sim","Não")</x:f>
        <x:v>Não</x:v>
      </x:c>
      <x:c r="G19" s="261" t="str">
        <x:f>IF(F19="Sim","Término posterior ao início do atendimento seguinte","")</x:f>
      </x:c>
      <x:c r="H19" s="258" t="n">
        <x:f>IF(D19&lt;&gt;"",MAX(0,B20-D19),"")</x:f>
        <x:v>0.0006944444467080757</x:v>
      </x:c>
    </x:row>
    <x:row r="20">
      <x:c r="A20" s="238" t="str">
        <x:v>Paciente 12</x:v>
      </x:c>
      <x:c r="B20" s="251" t="n">
        <x:v>46219.49513888889</x:v>
      </x:c>
      <x:c r="C20" s="252" t="n">
        <x:f>IF(D20&lt;&gt;"",D20-B20,"")</x:f>
        <x:v>0.018055555556202307</x:v>
      </x:c>
      <x:c r="D20" s="251" t="n">
        <x:v>46219.513194444444</x:v>
      </x:c>
      <x:c r="E20" s="252" t="str">
        <x:f>IF(F20="Sim",B21-B20,"")</x:f>
      </x:c>
      <x:c r="F20" s="253" t="str">
        <x:f>IF(AND(D20&lt;&gt;"",D20&gt;B21),"Sim","Não")</x:f>
        <x:v>Não</x:v>
      </x:c>
      <x:c r="G20" s="261" t="str">
        <x:f>IF(F20="Sim","Término posterior ao início do atendimento seguinte","")</x:f>
      </x:c>
      <x:c r="H20" s="258" t="n">
        <x:f>IF(D20&lt;&gt;"",MAX(0,B21-D20),"")</x:f>
        <x:v>0.0006944444467080757</x:v>
      </x:c>
    </x:row>
    <x:row r="21">
      <x:c r="A21" s="238" t="str">
        <x:v>Paciente 13</x:v>
      </x:c>
      <x:c r="B21" s="251" t="n">
        <x:v>46219.51388888889</x:v>
      </x:c>
      <x:c r="C21" s="252" t="n">
        <x:f>IF(D21&lt;&gt;"",D21-B21,"")</x:f>
        <x:v>0.0062499999985448085</x:v>
      </x:c>
      <x:c r="D21" s="251" t="n">
        <x:v>46219.52013888889</x:v>
      </x:c>
      <x:c r="E21" s="252" t="str">
        <x:f>IF(F21="Sim",B22-B21,"")</x:f>
      </x:c>
      <x:c r="F21" s="253" t="str">
        <x:f>IF(AND(D21&lt;&gt;"",D21&gt;B22),"Sim","Não")</x:f>
        <x:v>Não</x:v>
      </x:c>
      <x:c r="G21" s="261" t="str">
        <x:f>IF(F21="Sim","Término posterior ao início do atendimento seguinte","")</x:f>
      </x:c>
      <x:c r="H21" s="258" t="n">
        <x:f>IF(D21&lt;&gt;"",MAX(0,B22-D21),"")</x:f>
        <x:v>0</x:v>
      </x:c>
    </x:row>
    <x:row r="22">
      <x:c r="A22" s="238" t="str">
        <x:v>Paciente 14</x:v>
      </x:c>
      <x:c r="B22" s="251" t="n">
        <x:v>46219.52013888889</x:v>
      </x:c>
      <x:c r="C22" s="252" t="n">
        <x:f>IF(D22&lt;&gt;"",D22-B22,"")</x:f>
        <x:v>0.016666666670062114</x:v>
      </x:c>
      <x:c r="D22" s="251" t="n">
        <x:v>46219.53680555556</x:v>
      </x:c>
      <x:c r="E22" s="252" t="str">
        <x:f>IF(F22="Sim",B23-B22,"")</x:f>
      </x:c>
      <x:c r="F22" s="253" t="str">
        <x:f>IF(AND(D22&lt;&gt;"",D22&gt;B23),"Sim","Não")</x:f>
        <x:v>Não</x:v>
      </x:c>
      <x:c r="G22" s="261" t="str">
        <x:f>IF(F22="Sim","Término posterior ao início do atendimento seguinte","")</x:f>
      </x:c>
      <x:c r="H22" s="258" t="n">
        <x:f>IF(D22&lt;&gt;"",MAX(0,B23-D22),"")</x:f>
        <x:v>0</x:v>
      </x:c>
    </x:row>
    <x:row r="23">
      <x:c r="A23" s="238" t="str">
        <x:v>Paciente 15</x:v>
      </x:c>
      <x:c r="B23" s="251" t="n">
        <x:v>46219.53680555556</x:v>
      </x:c>
      <x:c r="C23" s="252" t="n">
        <x:f>IF(D23&lt;&gt;"",D23-B23,"")</x:f>
        <x:v>0.022222222221898846</x:v>
      </x:c>
      <x:c r="D23" s="251" t="n">
        <x:v>46219.55902777778</x:v>
      </x:c>
      <x:c r="E23" s="252" t="str">
        <x:f>IF(F23="Sim",B24-B23,"")</x:f>
      </x:c>
      <x:c r="F23" s="253" t="str">
        <x:f>IF(AND(D23&lt;&gt;"",D23&gt;B24),"Sim","Não")</x:f>
        <x:v>Não</x:v>
      </x:c>
      <x:c r="G23" s="261" t="str">
        <x:f>IF(F23="Sim","Término posterior ao início do atendimento seguinte","")</x:f>
      </x:c>
      <x:c r="H23" s="258" t="n">
        <x:f>IF(D23&lt;&gt;"",MAX(0,B24-D23),"")</x:f>
        <x:v>0.009027777778101154</x:v>
      </x:c>
    </x:row>
    <x:row r="24">
      <x:c r="A24" s="238" t="str">
        <x:v>Paciente 16</x:v>
      </x:c>
      <x:c r="B24" s="251" t="n">
        <x:v>46219.56805555556</x:v>
      </x:c>
      <x:c r="C24" s="252" t="n">
        <x:f>IF(D24&lt;&gt;"",D24-B24,"")</x:f>
        <x:v>0.009722222217533272</x:v>
      </x:c>
      <x:c r="D24" s="251" t="n">
        <x:v>46219.57777777778</x:v>
      </x:c>
      <x:c r="E24" s="252" t="str">
        <x:f>IF(F24="Sim",B25-B24,"")</x:f>
      </x:c>
      <x:c r="F24" s="253" t="str">
        <x:f>IF(AND(D24&lt;&gt;"",D24&gt;B25),"Sim","Não")</x:f>
        <x:v>Não</x:v>
      </x:c>
      <x:c r="G24" s="261" t="str">
        <x:f>IF(F24="Sim","Término posterior ao início do atendimento seguinte","")</x:f>
      </x:c>
      <x:c r="H24" s="258" t="n">
        <x:f>IF(D24&lt;&gt;"",MAX(0,B25-D24),"")</x:f>
        <x:v>0</x:v>
      </x:c>
    </x:row>
    <x:row r="25">
      <x:c r="A25" s="238" t="str">
        <x:v>Paciente 17</x:v>
      </x:c>
      <x:c r="B25" s="251" t="n">
        <x:v>46219.57777777778</x:v>
      </x:c>
      <x:c r="C25" s="252" t="n">
        <x:f>IF(D25&lt;&gt;"",D25-B25,"")</x:f>
        <x:v>0.0062499999985448085</x:v>
      </x:c>
      <x:c r="D25" s="251" t="n">
        <x:v>46219.584027777775</x:v>
      </x:c>
      <x:c r="E25" s="252" t="str">
        <x:f>IF(F25="Sim",B26-B25,"")</x:f>
      </x:c>
      <x:c r="F25" s="253" t="str">
        <x:f>IF(AND(D25&lt;&gt;"",D25&gt;B26),"Sim","Não")</x:f>
        <x:v>Não</x:v>
      </x:c>
      <x:c r="G25" s="261" t="str">
        <x:f>IF(F25="Sim","Término posterior ao início do atendimento seguinte","")</x:f>
      </x:c>
      <x:c r="H25" s="258" t="n">
        <x:f>IF(D25&lt;&gt;"",MAX(0,B26-D25),"")</x:f>
        <x:v>0.0006944444467080757</x:v>
      </x:c>
    </x:row>
    <x:row r="26">
      <x:c r="A26" s="238" t="str">
        <x:v>Paciente 18</x:v>
      </x:c>
      <x:c r="B26" s="251" t="n">
        <x:v>46219.58472222222</x:v>
      </x:c>
      <x:c r="C26" s="252" t="n">
        <x:f>IF(D26&lt;&gt;"",D26-B26,"")</x:f>
        <x:v>0.012499999997089617</x:v>
      </x:c>
      <x:c r="D26" s="251" t="n">
        <x:v>46219.59722222222</x:v>
      </x:c>
      <x:c r="E26" s="252" t="str">
        <x:f>IF(F26="Sim",B27-B26,"")</x:f>
      </x:c>
      <x:c r="F26" s="253" t="str">
        <x:f>IF(AND(D26&lt;&gt;"",D26&gt;B27),"Sim","Não")</x:f>
        <x:v>Não</x:v>
      </x:c>
      <x:c r="G26" s="261" t="str">
        <x:f>IF(F26="Sim","Término posterior ao início do atendimento seguinte","")</x:f>
      </x:c>
      <x:c r="H26" s="258" t="n">
        <x:f>IF(D26&lt;&gt;"",MAX(0,B27-D26),"")</x:f>
        <x:v>0</x:v>
      </x:c>
    </x:row>
    <x:row r="27">
      <x:c r="A27" s="238" t="str">
        <x:v>Paciente 19</x:v>
      </x:c>
      <x:c r="B27" s="251" t="n">
        <x:v>46219.59722222222</x:v>
      </x:c>
      <x:c r="C27" s="252" t="n">
        <x:f>IF(D27&lt;&gt;"",D27-B27,"")</x:f>
        <x:v>0.014583333337213844</x:v>
      </x:c>
      <x:c r="D27" s="251" t="n">
        <x:v>46219.611805555556</x:v>
      </x:c>
      <x:c r="E27" s="252" t="str">
        <x:f>IF(F27="Sim",B28-B27,"")</x:f>
      </x:c>
      <x:c r="F27" s="253" t="str">
        <x:f>IF(AND(D27&lt;&gt;"",D27&gt;B28),"Sim","Não")</x:f>
        <x:v>Não</x:v>
      </x:c>
      <x:c r="G27" s="261" t="str">
        <x:f>IF(F27="Sim","Término posterior ao início do atendimento seguinte","")</x:f>
      </x:c>
      <x:c r="H27" s="258" t="n">
        <x:f>IF(D27&lt;&gt;"",MAX(0,B28-D27),"")</x:f>
        <x:v>0.0013888888861401938</x:v>
      </x:c>
    </x:row>
    <x:row r="28">
      <x:c r="A28" s="238" t="str">
        <x:v>Paciente 20</x:v>
      </x:c>
      <x:c r="B28" s="251" t="n">
        <x:v>46219.61319444444</x:v>
      </x:c>
      <x:c r="C28" s="252" t="n">
        <x:f>IF(D28&lt;&gt;"",D28-B28,"")</x:f>
        <x:v>0.010416666671517305</x:v>
      </x:c>
      <x:c r="D28" s="251" t="n">
        <x:v>46219.623611111114</x:v>
      </x:c>
      <x:c r="E28" s="252" t="str">
        <x:f>IF(F28="Sim",B29-B28,"")</x:f>
      </x:c>
      <x:c r="F28" s="253" t="str">
        <x:f>IF(AND(D28&lt;&gt;"",D28&gt;B29),"Sim","Não")</x:f>
        <x:v>Não</x:v>
      </x:c>
      <x:c r="G28" s="261" t="str">
        <x:f>IF(F28="Sim","Término posterior ao início do atendimento seguinte","")</x:f>
      </x:c>
      <x:c r="H28" s="258" t="n">
        <x:f>IF(D28&lt;&gt;"",MAX(0,B29-D28),"")</x:f>
        <x:v>0</x:v>
      </x:c>
    </x:row>
    <x:row r="29">
      <x:c r="A29" s="238" t="str">
        <x:v>Paciente 21</x:v>
      </x:c>
      <x:c r="B29" s="251" t="n">
        <x:v>46219.623611111114</x:v>
      </x:c>
      <x:c r="C29" s="252" t="n">
        <x:f>IF(D29&lt;&gt;"",D29-B29,"")</x:f>
        <x:v>0.004861111105128657</x:v>
      </x:c>
      <x:c r="D29" s="251" t="n">
        <x:v>46219.62847222222</x:v>
      </x:c>
      <x:c r="E29" s="252" t="str">
        <x:f>IF(F29="Sim",B30-B29,"")</x:f>
      </x:c>
      <x:c r="F29" s="253" t="str">
        <x:f>IF(AND(D29&lt;&gt;"",D29&gt;B30),"Sim","Não")</x:f>
        <x:v>Não</x:v>
      </x:c>
      <x:c r="G29" s="261" t="str">
        <x:f>IF(F29="Sim","Término posterior ao início do atendimento seguinte","")</x:f>
      </x:c>
      <x:c r="H29" s="258" t="n">
        <x:f>IF(D29&lt;&gt;"",MAX(0,B30-D29),"")</x:f>
        <x:v>0.0006944444467080757</x:v>
      </x:c>
    </x:row>
    <x:row r="30">
      <x:c r="A30" s="238" t="str">
        <x:v>Paciente 22</x:v>
      </x:c>
      <x:c r="B30" s="251" t="n">
        <x:v>46219.629166666666</x:v>
      </x:c>
      <x:c r="C30" s="252" t="n">
        <x:f>IF(D30&lt;&gt;"",D30-B30,"")</x:f>
        <x:v>0.004861111112404615</x:v>
      </x:c>
      <x:c r="D30" s="251" t="n">
        <x:v>46219.63402777778</x:v>
      </x:c>
      <x:c r="E30" s="252" t="str">
        <x:f>IF(F30="Sim",B31-B30,"")</x:f>
      </x:c>
      <x:c r="F30" s="253" t="str">
        <x:f>IF(AND(D30&lt;&gt;"",D30&gt;B31),"Sim","Não")</x:f>
        <x:v>Não</x:v>
      </x:c>
      <x:c r="G30" s="261" t="str">
        <x:f>IF(F30="Sim","Término posterior ao início do atendimento seguinte","")</x:f>
      </x:c>
      <x:c r="H30" s="258" t="n">
        <x:f>IF(D30&lt;&gt;"",MAX(0,B31-D30),"")</x:f>
        <x:v>0.0006944444467080757</x:v>
      </x:c>
    </x:row>
    <x:row r="31">
      <x:c r="A31" s="238" t="str">
        <x:v>Paciente 23</x:v>
      </x:c>
      <x:c r="B31" s="251" t="n">
        <x:v>46219.634722222225</x:v>
      </x:c>
      <x:c r="C31" s="252" t="n">
        <x:f>IF(D31&lt;&gt;"",D31-B31,"")</x:f>
        <x:v>0.007638888884685002</x:v>
      </x:c>
      <x:c r="D31" s="251" t="n">
        <x:v>46219.64236111111</x:v>
      </x:c>
      <x:c r="E31" s="252" t="str">
        <x:f>IF(F31="Sim",B32-B31,"")</x:f>
      </x:c>
      <x:c r="F31" s="253" t="str">
        <x:f>IF(AND(D31&lt;&gt;"",D31&gt;B32),"Sim","Não")</x:f>
        <x:v>Não</x:v>
      </x:c>
      <x:c r="G31" s="261" t="str">
        <x:f>IF(F31="Sim","Término posterior ao início do atendimento seguinte","")</x:f>
      </x:c>
      <x:c r="H31" s="258" t="n">
        <x:f>IF(D31&lt;&gt;"",MAX(0,B32-D31),"")</x:f>
        <x:v>0.0006944444467080757</x:v>
      </x:c>
    </x:row>
    <x:row r="32">
      <x:c r="A32" s="238" t="str">
        <x:v>Paciente 24</x:v>
      </x:c>
      <x:c r="B32" s="251" t="n">
        <x:v>46219.643055555556</x:v>
      </x:c>
      <x:c r="C32" s="252" t="n">
        <x:f>IF(D32&lt;&gt;"",D32-B32,"")</x:f>
        <x:v>0.012499999997089617</x:v>
      </x:c>
      <x:c r="D32" s="251" t="n">
        <x:v>46219.65555555555</x:v>
      </x:c>
      <x:c r="E32" s="252" t="str">
        <x:f>IF(F32="Sim",B33-B32,"")</x:f>
      </x:c>
      <x:c r="F32" s="253" t="str">
        <x:f>IF(AND(D32&lt;&gt;"",D32&gt;B33),"Sim","Não")</x:f>
        <x:v>Não</x:v>
      </x:c>
      <x:c r="G32" s="261" t="str">
        <x:f>IF(F32="Sim","Término posterior ao início do atendimento seguinte","")</x:f>
      </x:c>
      <x:c r="H32" s="258" t="n">
        <x:f>IF(D32&lt;&gt;"",MAX(0,B33-D32),"")</x:f>
        <x:v>0</x:v>
      </x:c>
    </x:row>
    <x:row r="33">
      <x:c r="A33" s="238" t="str">
        <x:v>Paciente 25</x:v>
      </x:c>
      <x:c r="B33" s="251" t="n">
        <x:v>46219.65555555555</x:v>
      </x:c>
      <x:c r="C33" s="252" t="n">
        <x:f>IF(D33&lt;&gt;"",D33-B33,"")</x:f>
        <x:v>0.009027777778101154</x:v>
      </x:c>
      <x:c r="D33" s="251" t="n">
        <x:v>46219.66458333333</x:v>
      </x:c>
      <x:c r="E33" s="252" t="str">
        <x:f>IF(F33="Sim",B34-B33,"")</x:f>
      </x:c>
      <x:c r="F33" s="253" t="str">
        <x:f>IF(AND(D33&lt;&gt;"",D33&gt;B34),"Sim","Não")</x:f>
        <x:v>Não</x:v>
      </x:c>
      <x:c r="G33" s="261" t="str">
        <x:f>IF(F33="Sim","Término posterior ao início do atendimento seguinte","")</x:f>
      </x:c>
      <x:c r="H33" s="258" t="n">
        <x:f>IF(D33&lt;&gt;"",MAX(0,B34-D33),"")</x:f>
        <x:v>0.0006944444467080757</x:v>
      </x:c>
    </x:row>
    <x:row r="34">
      <x:c r="A34" s="238" t="str">
        <x:v>Paciente 26</x:v>
      </x:c>
      <x:c r="B34" s="251" t="n">
        <x:v>46219.66527777778</x:v>
      </x:c>
      <x:c r="C34" s="252" t="n">
        <x:f>IF(D34&lt;&gt;"",D34-B34,"")</x:f>
        <x:v>0.01736111110949423</x:v>
      </x:c>
      <x:c r="D34" s="251" t="n">
        <x:v>46219.68263888889</x:v>
      </x:c>
      <x:c r="E34" s="252" t="str">
        <x:f>IF(F34="Sim",B35-B34,"")</x:f>
      </x:c>
      <x:c r="F34" s="253" t="str">
        <x:f>IF(AND(D34&lt;&gt;"",D34&gt;B35),"Sim","Não")</x:f>
        <x:v>Não</x:v>
      </x:c>
      <x:c r="G34" s="261" t="str">
        <x:f>IF(F34="Sim","Término posterior ao início do atendimento seguinte","")</x:f>
      </x:c>
      <x:c r="H34" s="258" t="n">
        <x:f>IF(D34&lt;&gt;"",MAX(0,B35-D34),"")</x:f>
        <x:v>0</x:v>
      </x:c>
    </x:row>
    <x:row r="35">
      <x:c r="A35" s="238" t="str">
        <x:v>Paciente 27</x:v>
      </x:c>
      <x:c r="B35" s="251" t="n">
        <x:v>46219.68263888889</x:v>
      </x:c>
      <x:c r="C35" s="252" t="n">
        <x:f>IF(D35&lt;&gt;"",D35-B35,"")</x:f>
        <x:v>0.016666666670062114</x:v>
      </x:c>
      <x:c r="D35" s="251" t="n">
        <x:v>46219.69930555556</x:v>
      </x:c>
      <x:c r="E35" s="252" t="str">
        <x:f>IF(F35="Sim",B36-B35,"")</x:f>
      </x:c>
      <x:c r="F35" s="253" t="str">
        <x:f>IF(AND(D35&lt;&gt;"",D35&gt;B36),"Sim","Não")</x:f>
        <x:v>Não</x:v>
      </x:c>
      <x:c r="G35" s="261" t="str">
        <x:f>IF(F35="Sim","Término posterior ao início do atendimento seguinte","")</x:f>
      </x:c>
      <x:c r="H35" s="258" t="n">
        <x:f>IF(D35&lt;&gt;"",MAX(0,B36-D35),"")</x:f>
        <x:v>0.0013888888861401938</x:v>
      </x:c>
    </x:row>
    <x:row r="36">
      <x:c r="A36" s="238" t="str">
        <x:v>Paciente 28</x:v>
      </x:c>
      <x:c r="B36" s="251" t="n">
        <x:v>46219.700694444444</x:v>
      </x:c>
      <x:c r="C36" s="252" t="n">
        <x:f>IF(D36&lt;&gt;"",D36-B36,"")</x:f>
        <x:v>0.006944444445252884</x:v>
      </x:c>
      <x:c r="D36" s="251" t="n">
        <x:v>46219.70763888889</x:v>
      </x:c>
      <x:c r="E36" s="252" t="str">
        <x:f>IF(F36="Sim",B37-B36,"")</x:f>
      </x:c>
      <x:c r="F36" s="253" t="str">
        <x:f>IF(AND(D36&lt;&gt;"",D36&gt;B37),"Sim","Não")</x:f>
        <x:v>Não</x:v>
      </x:c>
      <x:c r="G36" s="261" t="str">
        <x:f>IF(F36="Sim","Término posterior ao início do atendimento seguinte","")</x:f>
      </x:c>
      <x:c r="H36" s="258" t="n">
        <x:f>IF(D36&lt;&gt;"",MAX(0,B37-D36),"")</x:f>
        <x:v>0</x:v>
      </x:c>
    </x:row>
    <x:row r="37">
      <x:c r="A37" s="238" t="str">
        <x:v>Paciente 29</x:v>
      </x:c>
      <x:c r="B37" s="251" t="n">
        <x:v>46219.70763888889</x:v>
      </x:c>
      <x:c r="C37" s="252" t="n">
        <x:f>IF(D37&lt;&gt;"",D37-B37,"")</x:f>
        <x:v>0.00763888889196096</x:v>
      </x:c>
      <x:c r="D37" s="251" t="n">
        <x:v>46219.71527777778</x:v>
      </x:c>
      <x:c r="E37" s="252" t="str">
        <x:f>IF(F37="Sim",B38-B37,"")</x:f>
      </x:c>
      <x:c r="F37" s="253" t="str">
        <x:f>IF(AND(D37&lt;&gt;"",D37&gt;B38),"Sim","Não")</x:f>
        <x:v>Não</x:v>
      </x:c>
      <x:c r="G37" s="261" t="str">
        <x:f>IF(F37="Sim","Término posterior ao início do atendimento seguinte","")</x:f>
      </x:c>
      <x:c r="H37" s="258" t="n">
        <x:f>IF(D37&lt;&gt;"",MAX(0,B38-D37),"")</x:f>
        <x:v>0.0020833333328482695</x:v>
      </x:c>
    </x:row>
    <x:row r="38">
      <x:c r="A38" s="238" t="str">
        <x:v>Paciente 30</x:v>
      </x:c>
      <x:c r="B38" s="251" t="n">
        <x:v>46219.717361111114</x:v>
      </x:c>
      <x:c r="C38" s="252" t="n">
        <x:f>IF(D38&lt;&gt;"",D38-B38,"")</x:f>
        <x:v>0.0027777777722803876</x:v>
      </x:c>
      <x:c r="D38" s="251" t="n">
        <x:v>46219.720138888886</x:v>
      </x:c>
      <x:c r="E38" s="252" t="str">
        <x:f>IF(F38="Sim",B39-B38,"")</x:f>
      </x:c>
      <x:c r="F38" s="253" t="str">
        <x:f>IF(AND(D38&lt;&gt;"",D38&gt;B39),"Sim","Não")</x:f>
        <x:v>Não</x:v>
      </x:c>
      <x:c r="G38" s="261" t="str">
        <x:f>IF(F38="Sim","Término posterior ao início do atendimento seguinte","")</x:f>
      </x:c>
      <x:c r="H38" s="258" t="n">
        <x:f>IF(D38&lt;&gt;"",MAX(0,B39-D38),"")</x:f>
        <x:v>0</x:v>
      </x:c>
    </x:row>
    <x:row r="39">
      <x:c r="A39" s="238" t="str">
        <x:v>Paciente 31</x:v>
      </x:c>
      <x:c r="B39" s="251" t="n">
        <x:v>46219.720138888886</x:v>
      </x:c>
      <x:c r="C39" s="252" t="n">
        <x:f>IF(D39&lt;&gt;"",D39-B39,"")</x:f>
        <x:v>0.006250000005820766</x:v>
      </x:c>
      <x:c r="D39" s="251" t="n">
        <x:v>46219.72638888889</x:v>
      </x:c>
      <x:c r="E39" s="252" t="str">
        <x:f>IF(F39="Sim",B40-B39,"")</x:f>
      </x:c>
      <x:c r="F39" s="253" t="str">
        <x:f>IF(AND(D39&lt;&gt;"",D39&gt;B40),"Sim","Não")</x:f>
        <x:v>Não</x:v>
      </x:c>
      <x:c r="G39" s="261" t="str">
        <x:f>IF(F39="Sim","Término posterior ao início do atendimento seguinte","")</x:f>
      </x:c>
      <x:c r="H39" s="258" t="n">
        <x:f>IF(D39&lt;&gt;"",MAX(0,B40-D39),"")</x:f>
        <x:v>0</x:v>
      </x:c>
    </x:row>
    <x:row r="40">
      <x:c r="A40" s="238" t="str">
        <x:v>Paciente 32</x:v>
      </x:c>
      <x:c r="B40" s="251" t="n">
        <x:v>46219.72638888889</x:v>
      </x:c>
      <x:c r="C40" s="252" t="n">
        <x:f>IF(D40&lt;&gt;"",D40-B40,"")</x:f>
        <x:v>0.015277777776645962</x:v>
      </x:c>
      <x:c r="D40" s="251" t="n">
        <x:v>46219.74166666667</x:v>
      </x:c>
      <x:c r="E40" s="252" t="str">
        <x:f>IF(F40="Sim",B41-B40,"")</x:f>
      </x:c>
      <x:c r="F40" s="253" t="str">
        <x:f>IF(AND(D40&lt;&gt;"",D40&gt;B41),"Sim","Não")</x:f>
        <x:v>Não</x:v>
      </x:c>
      <x:c r="G40" s="261" t="str">
        <x:f>IF(F40="Sim","Término posterior ao início do atendimento seguinte","")</x:f>
      </x:c>
      <x:c r="H40" s="258" t="n">
        <x:f>IF(D40&lt;&gt;"",MAX(0,B41-D40),"")</x:f>
        <x:v>0</x:v>
      </x:c>
    </x:row>
    <x:row r="41">
      <x:c r="A41" s="238" t="str">
        <x:v>Paciente 33</x:v>
      </x:c>
      <x:c r="B41" s="251" t="n">
        <x:v>46219.74166666667</x:v>
      </x:c>
      <x:c r="C41" s="252" t="n">
        <x:f>IF(D41&lt;&gt;"",D41-B41,"")</x:f>
        <x:v>0.009722222217533272</x:v>
      </x:c>
      <x:c r="D41" s="251" t="n">
        <x:v>46219.751388888886</x:v>
      </x:c>
      <x:c r="E41" s="252" t="str">
        <x:f>IF(F41="Sim",B42-B41,"")</x:f>
      </x:c>
      <x:c r="F41" s="253" t="str">
        <x:f>IF(AND(D41&lt;&gt;"",D41&gt;B42),"Sim","Não")</x:f>
        <x:v>Não</x:v>
      </x:c>
      <x:c r="G41" s="261" t="str">
        <x:f>IF(F41="Sim","Término posterior ao início do atendimento seguinte","")</x:f>
      </x:c>
      <x:c r="H41" s="258" t="n">
        <x:f>IF(D41&lt;&gt;"",MAX(0,B42-D41),"")</x:f>
        <x:v>0</x:v>
      </x:c>
    </x:row>
    <x:row r="42">
      <x:c r="A42" s="238" t="str">
        <x:v>Paciente 34</x:v>
      </x:c>
      <x:c r="B42" s="251" t="n">
        <x:v>46219.751388888886</x:v>
      </x:c>
      <x:c r="C42" s="252" t="n">
        <x:f>IF(D42&lt;&gt;"",D42-B42,"")</x:f>
        <x:v>0.022916666668606922</x:v>
      </x:c>
      <x:c r="D42" s="251" t="n">
        <x:v>46219.774305555555</x:v>
      </x:c>
      <x:c r="E42" s="252" t="str">
        <x:f>IF(F42="Sim",B43-B42,"")</x:f>
      </x:c>
      <x:c r="F42" s="253" t="str">
        <x:f>IF(AND(D42&lt;&gt;"",D42&gt;B43),"Sim","Não")</x:f>
        <x:v>Não</x:v>
      </x:c>
      <x:c r="G42" s="261" t="str">
        <x:f>IF(F42="Sim","Término posterior ao início do atendimento seguinte","")</x:f>
      </x:c>
      <x:c r="H42" s="258" t="n">
        <x:f>IF(D42&lt;&gt;"",MAX(0,B43-D42),"")</x:f>
        <x:v>0</x:v>
      </x:c>
    </x:row>
    <x:row r="43">
      <x:c r="A43" s="238" t="str">
        <x:v>Paciente 35</x:v>
      </x:c>
      <x:c r="B43" s="251" t="n">
        <x:v>46219.774305555555</x:v>
      </x:c>
      <x:c r="C43" s="252" t="n">
        <x:f>IF(D43&lt;&gt;"",D43-B43,"")</x:f>
        <x:v>0.009027777778101154</x:v>
      </x:c>
      <x:c r="D43" s="251" t="n">
        <x:v>46219.78333333333</x:v>
      </x:c>
      <x:c r="E43" s="252" t="str">
        <x:f>IF(F43="Sim",B44-B43,"")</x:f>
      </x:c>
      <x:c r="F43" s="253" t="str">
        <x:f>IF(AND(D43&lt;&gt;"",D43&gt;B44),"Sim","Não")</x:f>
        <x:v>Não</x:v>
      </x:c>
      <x:c r="G43" s="261" t="str">
        <x:f>IF(F43="Sim","Término posterior ao início do atendimento seguinte","")</x:f>
      </x:c>
      <x:c r="H43" s="258" t="n">
        <x:f>IF(D43&lt;&gt;"",MAX(0,B44-D43),"")</x:f>
        <x:v>0</x:v>
      </x:c>
    </x:row>
    <x:row r="44">
      <x:c r="A44" s="238" t="str">
        <x:v>Paciente 36</x:v>
      </x:c>
      <x:c r="B44" s="251" t="n">
        <x:v>46219.78333333333</x:v>
      </x:c>
      <x:c r="C44" s="252" t="n">
        <x:f>IF(D44&lt;&gt;"",D44-B44,"")</x:f>
        <x:v>0.00763888889196096</x:v>
      </x:c>
      <x:c r="D44" s="251" t="n">
        <x:v>46219.790972222225</x:v>
      </x:c>
      <x:c r="E44" s="252" t="str">
        <x:f>IF(F44="Sim",B45-B44,"")</x:f>
      </x:c>
      <x:c r="F44" s="253" t="str">
        <x:f>IF(AND(D44&lt;&gt;"",D44&gt;B45),"Sim","Não")</x:f>
        <x:v>Não</x:v>
      </x:c>
      <x:c r="G44" s="261" t="str">
        <x:f>IF(F44="Sim","Término posterior ao início do atendimento seguinte","")</x:f>
      </x:c>
      <x:c r="H44" s="258" t="n">
        <x:f>IF(D44&lt;&gt;"",MAX(0,B45-D44),"")</x:f>
        <x:v>0.0013888888861401938</x:v>
      </x:c>
    </x:row>
    <x:row r="45">
      <x:c r="A45" s="238" t="str">
        <x:v>Paciente 37</x:v>
      </x:c>
      <x:c r="B45" s="251" t="n">
        <x:v>46219.79236111111</x:v>
      </x:c>
      <x:c r="C45" s="252" t="n">
        <x:f>IF(D45&lt;&gt;"",D45-B45,"")</x:f>
        <x:v>0.015277777776645962</x:v>
      </x:c>
      <x:c r="D45" s="251" t="n">
        <x:v>46219.80763888889</x:v>
      </x:c>
      <x:c r="E45" s="252" t="str">
        <x:f>IF(F45="Sim",B46-B45,"")</x:f>
      </x:c>
      <x:c r="F45" s="253" t="str">
        <x:f>IF(AND(D45&lt;&gt;"",D45&gt;B46),"Sim","Não")</x:f>
        <x:v>Não</x:v>
      </x:c>
      <x:c r="G45" s="261" t="str">
        <x:f>IF(F45="Sim","Término posterior ao início do atendimento seguinte","")</x:f>
      </x:c>
      <x:c r="H45" s="258" t="n">
        <x:f>IF(D45&lt;&gt;"",MAX(0,B46-D45),"")</x:f>
        <x:v>0</x:v>
      </x:c>
    </x:row>
    <x:row r="46">
      <x:c r="A46" s="243" t="str">
        <x:v>Paciente 38</x:v>
      </x:c>
      <x:c r="B46" s="254" t="n">
        <x:v>46219.80763888889</x:v>
      </x:c>
      <x:c r="C46" s="255" t="n">
        <x:f>IF(D46&lt;&gt;"",D46-B46,"")</x:f>
        <x:v>0.018750000002910383</x:v>
      </x:c>
      <x:c r="D46" s="254" t="n">
        <x:v>46219.82638888889</x:v>
      </x:c>
      <x:c r="E46" s="255"/>
      <x:c r="F46" s="256" t="str">
        <x:v>Não</x:v>
      </x:c>
      <x:c r="G46" s="262" t="str"/>
      <x:c r="H46" s="259"/>
    </x:row>
  </x:sheetData>
  <x:mergeCells>
    <x:mergeCell ref="A1:H1"/>
    <x:mergeCell ref="B2:H2"/>
    <x:mergeCell ref="B3:H3"/>
    <x:mergeCell ref="B4:H4"/>
    <x:mergeCell ref="A6:H6"/>
  </x:mergeCells>
  <x:conditionalFormatting sqref="A9:H46">
    <x:cfRule type="expression" dxfId="12" priority="1">
      <x:formula>$F9="Sim"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63d05ed6ec411d"/>
  </x:tableParts>
</x:worksheet>
</file>